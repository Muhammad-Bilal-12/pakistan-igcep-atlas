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b8d2b6a65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 Register" sheetId="1" r:id="R878c2aef5cf64883"/>
    <x:sheet xmlns:r="http://schemas.openxmlformats.org/officeDocument/2006/relationships" name="Annual Additions" sheetId="2" r:id="Rd7b95387bfc141fa"/>
    <x:sheet xmlns:r="http://schemas.openxmlformats.org/officeDocument/2006/relationships" name="Existing Fleet" sheetId="3" r:id="R4c361732f3aa427e"/>
    <x:sheet xmlns:r="http://schemas.openxmlformats.org/officeDocument/2006/relationships" name="Retirements" sheetId="4" r:id="R4c3e88d0fc2c4b61"/>
    <x:sheet xmlns:r="http://schemas.openxmlformats.org/officeDocument/2006/relationships" name="Capacity Factors" sheetId="5" r:id="R6be052012ad54be2"/>
    <x:sheet xmlns:r="http://schemas.openxmlformats.org/officeDocument/2006/relationships" name="Region by FY" sheetId="6" r:id="Rb798bbfcc4904a46"/>
    <x:sheet xmlns:r="http://schemas.openxmlformats.org/officeDocument/2006/relationships" name="Technology by FY" sheetId="7" r:id="R1122d5ad9e3d40d6"/>
    <x:sheet xmlns:r="http://schemas.openxmlformats.org/officeDocument/2006/relationships" name="Start Here" sheetId="8" r:id="R8773915b3b8a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0.0000"/>
    <x:numFmt numFmtId="202" formatCode="0.00"/>
    <x:numFmt numFmtId="203" formatCode="0"/>
    <x:numFmt numFmtId="204" formatCode="#,##0"/>
    <x:numFmt numFmtId="205" formatCode="#,##0.0"/>
  </x:numFmts>
  <x:fonts count="9">
    <x:font>
      <x:sz val="11"/>
      <x:name val="Carlito"/>
    </x:font>
    <x:font>
      <x:b/>
      <x:sz val="15"/>
      <x:color rgb="FFFFFFFF"/>
      <x:name val="Carlito"/>
    </x:font>
    <x:font>
      <x:sz val="10"/>
      <x:color rgb="FF446075"/>
      <x:name val="Carlito"/>
    </x:font>
    <x:font>
      <x:b/>
      <x:sz val="10"/>
      <x:color rgb="FFFFFFFF"/>
      <x:name val="Carlito"/>
    </x:font>
    <x:font>
      <x:sz val="11"/>
      <x:color rgb="FF476577"/>
      <x:name val="Carlito"/>
    </x:font>
    <x:font>
      <x:b/>
      <x:sz val="11"/>
      <x:color rgb="FFFFFFFF"/>
      <x:name val="Carlito"/>
    </x:font>
    <x:font>
      <x:b/>
      <x:sz val="11"/>
      <x:color rgb="FF17324E"/>
      <x:name val="Carlito"/>
    </x:font>
    <x:font>
      <x:b/>
      <x:sz val="16"/>
      <x:color rgb="FFFFFFFF"/>
      <x:name val="Carlito"/>
    </x:font>
    <x:font>
      <x:sz val="10"/>
      <x:color rgb="FF4D68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E"/>
      </x:patternFill>
    </x:fill>
    <x:fill>
      <x:patternFill patternType="solid">
        <x:fgColor rgb="FFEAF1F6"/>
      </x:patternFill>
    </x:fill>
    <x:fill>
      <x:patternFill patternType="solid">
        <x:fgColor rgb="FF007F86"/>
      </x:patternFill>
    </x:fill>
    <x:fill>
      <x:patternFill patternType="solid">
        <x:fgColor rgb="FFD7EAF1"/>
      </x:patternFill>
    </x:fill>
    <x:fill>
      <x:patternFill patternType="solid">
        <x:fgColor rgb="FFE6F0F3"/>
      </x:patternFill>
    </x:fill>
    <x:fill>
      <x:patternFill patternType="solid">
        <x:fgColor rgb="FFE3EEF5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205" fontId="6" fillId="7" borderId="0" xfId="0" applyNumberFormat="1" applyFont="1" applyFill="1" applyBorder="1"/>
    <x:xf numFmtId="205" fontId="6" fillId="7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F5E5"/>
        </x:patternFill>
      </x:fill>
    </x:dxf>
    <x:dxf>
      <x:fill>
        <x:patternFill patternType="solid">
          <x:bgColor rgb="FFFCE8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d952d331614321" /><Relationship Type="http://schemas.openxmlformats.org/officeDocument/2006/relationships/theme" Target="/xl/theme/theme1.xml" Id="Rc1015f8f5db448a9" /><Relationship Type="http://schemas.openxmlformats.org/officeDocument/2006/relationships/sharedStrings" Target="/xl/sharedStrings.xml" Id="R7dbffc4d5e56422b" /><Relationship Type="http://schemas.openxmlformats.org/officeDocument/2006/relationships/worksheet" Target="/xl/worksheets/sheet1.xml" Id="R878c2aef5cf64883" /><Relationship Type="http://schemas.openxmlformats.org/officeDocument/2006/relationships/worksheet" Target="/xl/worksheets/sheet2.xml" Id="Rd7b95387bfc141fa" /><Relationship Type="http://schemas.openxmlformats.org/officeDocument/2006/relationships/worksheet" Target="/xl/worksheets/sheet3.xml" Id="R4c361732f3aa427e" /><Relationship Type="http://schemas.openxmlformats.org/officeDocument/2006/relationships/worksheet" Target="/xl/worksheets/sheet4.xml" Id="R4c3e88d0fc2c4b61" /><Relationship Type="http://schemas.openxmlformats.org/officeDocument/2006/relationships/worksheet" Target="/xl/worksheets/sheet5.xml" Id="R6be052012ad54be2" /><Relationship Type="http://schemas.openxmlformats.org/officeDocument/2006/relationships/worksheet" Target="/xl/worksheets/sheet6.xml" Id="Rb798bbfcc4904a46" /><Relationship Type="http://schemas.openxmlformats.org/officeDocument/2006/relationships/worksheet" Target="/xl/worksheets/sheet7.xml" Id="R1122d5ad9e3d40d6" /><Relationship Type="http://schemas.openxmlformats.org/officeDocument/2006/relationships/worksheet" Target="/xl/worksheets/sheet8.xml" Id="R8773915b3b8a4b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1c5cbd22f6423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Additions</c:v>
          </c:tx>
          <c:cat>
            <c:strRef>
              <c:f>'Start Here'!$A$27:$A$37</c:f>
              <c:strCache>
                <c:ptCount val="0"/>
              </c:strCache>
            </c:strRef>
          </c:cat>
          <c:val>
            <c:numRef>
              <c:f>'Start Here'!$B$27:$B$37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Retirements</c:v>
          </c:tx>
          <c:cat>
            <c:strRef>
              <c:f>'Start Here'!$A$27:$A$37</c:f>
              <c:strCache>
                <c:ptCount val="0"/>
              </c:strCache>
            </c:strRef>
          </c:cat>
          <c:val>
            <c:numRef>
              <c:f>'Start Here'!$C$27:$C$37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25</xdr:row>
      <xdr:rowOff>0</xdr:rowOff>
    </xdr:from>
    <xdr:to>
      <xdr:col>11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1c5cbd22f6423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GCEP_Plant_Register" displayName="IGCEP_Plant_Register" ref="A3:AF215" headerRowCount="1" totalsRowCount="0" totalsRowShown="0">
  <x:tableColumns count="32">
    <x:tableColumn id="1" name="Record ID"/>
    <x:tableColumn id="2" name="Plant / project name (source)"/>
    <x:tableColumn id="3" name="Event"/>
    <x:tableColumn id="4" name="FY ending"/>
    <x:tableColumn id="5" name="Status"/>
    <x:tableColumn id="6" name="Technology"/>
    <x:tableColumn id="7" name="Fuel (IGCEP)"/>
    <x:tableColumn id="8" name="Installed capacity (MW)"/>
    <x:tableColumn id="9" name="Dependable capacity (MW)"/>
    <x:tableColumn id="10" name="Region (indicative)"/>
    <x:tableColumn id="11" name="Map locality / anchor"/>
    <x:tableColumn id="12" name="Latitude (indicative)"/>
    <x:tableColumn id="13" name="Longitude (indicative)"/>
    <x:tableColumn id="14" name="Location quality"/>
    <x:tableColumn id="15" name="Scheduled COD"/>
    <x:tableColumn id="16" name="Agency"/>
    <x:tableColumn id="17" name="Baseline retirement FY"/>
    <x:tableColumn id="18" name="CF matched plant"/>
    <x:tableColumn id="19" name="CF source PDF p."/>
    <x:tableColumn id="20" name="IGCEP table"/>
    <x:tableColumn id="21" name="IGCEP PDF p."/>
    <x:tableColumn id="22" name="Printed report p."/>
    <x:tableColumn id="23" name="Location caveat"/>
    <x:tableColumn id="24" name="Capacity factor FY2027 (%)"/>
    <x:tableColumn id="25" name="Capacity factor FY2028 (%)"/>
    <x:tableColumn id="26" name="Capacity factor FY2029 (%)"/>
    <x:tableColumn id="27" name="Capacity factor FY2030 (%)"/>
    <x:tableColumn id="28" name="Capacity factor FY2031 (%)"/>
    <x:tableColumn id="29" name="Capacity factor FY2032 (%)"/>
    <x:tableColumn id="30" name="Capacity factor FY2033 (%)"/>
    <x:tableColumn id="31" name="Capacity factor FY2034 (%)"/>
    <x:tableColumn id="32" name="Capacity factor FY2035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GCEP_Annual_Additions" displayName="IGCEP_Annual_Additions" ref="A3:O68" headerRowCount="1" totalsRowCount="0" totalsRowShown="0">
  <x:tableColumns count="15">
    <x:tableColumn id="1" name="Table 6-8 row"/>
    <x:tableColumn id="2" name="IGCEP plant name"/>
    <x:tableColumn id="3" name="Technology"/>
    <x:tableColumn id="4" name="FY ending"/>
    <x:tableColumn id="5" name="Fuel"/>
    <x:tableColumn id="6" name="Status"/>
    <x:tableColumn id="7" name="Agency"/>
    <x:tableColumn id="8" name="Installed MW"/>
    <x:tableColumn id="9" name="Dependable MW"/>
    <x:tableColumn id="10" name="Planned COD"/>
    <x:tableColumn id="11" name="Region"/>
    <x:tableColumn id="12" name="Mapping confidence"/>
    <x:tableColumn id="13" name="IGCEP PDF p."/>
    <x:tableColumn id="14" name="Printed p."/>
    <x:tableColumn id="15" name="Location / anch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GCEP_Existing_Fleet" displayName="IGCEP_Existing_Fleet" ref="A3:N139" headerRowCount="1" totalsRowCount="0" totalsRowShown="0">
  <x:tableColumns count="14">
    <x:tableColumn id="1" name="Record"/>
    <x:tableColumn id="2" name="IGCEP name"/>
    <x:tableColumn id="3" name="Technology"/>
    <x:tableColumn id="4" name="Fuel"/>
    <x:tableColumn id="5" name="Installed MW"/>
    <x:tableColumn id="6" name="Dependable MW"/>
    <x:tableColumn id="7" name="Region"/>
    <x:tableColumn id="8" name="Location quality"/>
    <x:tableColumn id="9" name="Latitude"/>
    <x:tableColumn id="10" name="Longitude"/>
    <x:tableColumn id="11" name="Scheduled retirement FY"/>
    <x:tableColumn id="12" name="IGCEP PDF p."/>
    <x:tableColumn id="13" name="System"/>
    <x:tableColumn id="14" name="Site / cluster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GCEP_Retirements" displayName="IGCEP_Retirements" ref="A3:L14" headerRowCount="1" totalsRowCount="0" totalsRowShown="0">
  <x:tableColumns count="12">
    <x:tableColumn id="1" name="Table 5-2 row"/>
    <x:tableColumn id="2" name="Station name (source)"/>
    <x:tableColumn id="3" name="Technology"/>
    <x:tableColumn id="4" name="Retirement FY"/>
    <x:tableColumn id="5" name="Installed capacity retired MW"/>
    <x:tableColumn id="6" name="Fuel"/>
    <x:tableColumn id="7" name="Region (indicative)"/>
    <x:tableColumn id="8" name="Locality / anchor"/>
    <x:tableColumn id="9" name="Status"/>
    <x:tableColumn id="10" name="PDF p."/>
    <x:tableColumn id="11" name="Baseline match"/>
    <x:tableColumn id="12" name="Difference / 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GCEP_Capacity_Factors" displayName="IGCEP_Capacity_Factors" ref="A3:M215" headerRowCount="1" totalsRowCount="0" totalsRowShown="0">
  <x:tableColumns count="13">
    <x:tableColumn id="1" name="Table 6-9 row"/>
    <x:tableColumn id="2" name="Published plant / group"/>
    <x:tableColumn id="3" name="Published fuel classification"/>
    <x:tableColumn id="4" name="Source PDF p."/>
    <x:tableColumn id="5" name="FY2027 CF (%)"/>
    <x:tableColumn id="6" name="FY2028 CF (%)"/>
    <x:tableColumn id="7" name="FY2029 CF (%)"/>
    <x:tableColumn id="8" name="FY2030 CF (%)"/>
    <x:tableColumn id="9" name="FY2031 CF (%)"/>
    <x:tableColumn id="10" name="FY2032 CF (%)"/>
    <x:tableColumn id="11" name="FY2033 CF (%)"/>
    <x:tableColumn id="12" name="FY2034 CF (%)"/>
    <x:tableColumn id="13" name="FY2035 CF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a01f3b210f45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07a1e4363d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37f99daa9cf40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fdde3930834a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69bd940eac49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d315a89bb1304475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22" hidden="0" customWidth="1"/>
    <x:col min="4" max="4" width="12" hidden="0" customWidth="1"/>
    <x:col min="5" max="5" width="17" hidden="0" customWidth="1"/>
    <x:col min="6" max="6" width="20" hidden="0" customWidth="1"/>
    <x:col min="7" max="7" width="18" hidden="0" customWidth="1"/>
    <x:col min="8" max="8" width="16" hidden="0" customWidth="1"/>
    <x:col min="9" max="9" width="17" hidden="0" customWidth="1"/>
    <x:col min="10" max="10" width="25" hidden="0" customWidth="1"/>
    <x:col min="11" max="11" width="35" hidden="0" customWidth="1"/>
    <x:col min="12" max="12" width="18" hidden="0" customWidth="1"/>
    <x:col min="13" max="13" width="18" hidden="0" customWidth="1"/>
    <x:col min="14" max="14" width="24" hidden="0" customWidth="1"/>
    <x:col min="15" max="15" width="15" hidden="0" customWidth="1"/>
    <x:col min="16" max="16" width="17" hidden="0" customWidth="1"/>
    <x:col min="17" max="17" width="20" hidden="0" customWidth="1"/>
    <x:col min="18" max="18" width="25" hidden="0" customWidth="1"/>
    <x:col min="19" max="19" width="17" hidden="0" customWidth="1"/>
    <x:col min="20" max="20" width="21" hidden="0" customWidth="1"/>
    <x:col min="21" max="21" width="14" hidden="0" customWidth="1"/>
    <x:col min="22" max="22" width="17" hidden="0" customWidth="1"/>
    <x:col min="23" max="23" width="55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 ht="30" customHeight="1">
      <x:c r="A1" s="4" t="str">
        <x:v>IGCEP • Plant-Level Master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25" customHeight="1">
      <x:c r="A2" s="10" t="str">
        <x:v>212 source-table records | baseline Nov 2024 + main RCA (Table 6-8) + retirement events (Table 5-2) | geocodes are indicative, not source-specified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</x:row>
    <x:row r="3" ht="26" customHeight="1">
      <x:c r="A3" s="16" t="str">
        <x:v>Record ID</x:v>
      </x:c>
      <x:c r="B3" s="16" t="str">
        <x:v>Plant / project name (source)</x:v>
      </x:c>
      <x:c r="C3" s="16" t="str">
        <x:v>Event</x:v>
      </x:c>
      <x:c r="D3" s="16" t="str">
        <x:v>FY ending</x:v>
      </x:c>
      <x:c r="E3" s="16" t="str">
        <x:v>Status</x:v>
      </x:c>
      <x:c r="F3" s="16" t="str">
        <x:v>Technology</x:v>
      </x:c>
      <x:c r="G3" s="16" t="str">
        <x:v>Fuel (IGCEP)</x:v>
      </x:c>
      <x:c r="H3" s="16" t="str">
        <x:v>Installed capacity (MW)</x:v>
      </x:c>
      <x:c r="I3" s="16" t="str">
        <x:v>Dependable capacity (MW)</x:v>
      </x:c>
      <x:c r="J3" s="16" t="str">
        <x:v>Region (indicative)</x:v>
      </x:c>
      <x:c r="K3" s="16" t="str">
        <x:v>Map locality / anchor</x:v>
      </x:c>
      <x:c r="L3" s="16" t="str">
        <x:v>Latitude (indicative)</x:v>
      </x:c>
      <x:c r="M3" s="16" t="str">
        <x:v>Longitude (indicative)</x:v>
      </x:c>
      <x:c r="N3" s="16" t="str">
        <x:v>Location quality</x:v>
      </x:c>
      <x:c r="O3" s="16" t="str">
        <x:v>Scheduled COD</x:v>
      </x:c>
      <x:c r="P3" s="16" t="str">
        <x:v>Agency</x:v>
      </x:c>
      <x:c r="Q3" s="16" t="str">
        <x:v>Baseline retirement FY</x:v>
      </x:c>
      <x:c r="R3" s="16" t="str">
        <x:v>CF matched plant</x:v>
      </x:c>
      <x:c r="S3" s="16" t="str">
        <x:v>CF source PDF p.</x:v>
      </x:c>
      <x:c r="T3" s="16" t="str">
        <x:v>IGCEP table</x:v>
      </x:c>
      <x:c r="U3" s="16" t="str">
        <x:v>IGCEP PDF p.</x:v>
      </x:c>
      <x:c r="V3" s="16" t="str">
        <x:v>Printed report p.</x:v>
      </x:c>
      <x:c r="W3" s="16" t="str">
        <x:v>Location caveat</x:v>
      </x:c>
      <x:c r="X3" s="16" t="str">
        <x:v>Capacity factor FY2027 (%)</x:v>
      </x:c>
      <x:c r="Y3" s="16" t="str">
        <x:v>Capacity factor FY2028 (%)</x:v>
      </x:c>
      <x:c r="Z3" s="16" t="str">
        <x:v>Capacity factor FY2029 (%)</x:v>
      </x:c>
      <x:c r="AA3" s="16" t="str">
        <x:v>Capacity factor FY2030 (%)</x:v>
      </x:c>
      <x:c r="AB3" s="16" t="str">
        <x:v>Capacity factor FY2031 (%)</x:v>
      </x:c>
      <x:c r="AC3" s="16" t="str">
        <x:v>Capacity factor FY2032 (%)</x:v>
      </x:c>
      <x:c r="AD3" s="16" t="str">
        <x:v>Capacity factor FY2033 (%)</x:v>
      </x:c>
      <x:c r="AE3" s="16" t="str">
        <x:v>Capacity factor FY2034 (%)</x:v>
      </x:c>
      <x:c r="AF3" s="16" t="str">
        <x:v>Capacity factor FY2035 (%)</x:v>
      </x:c>
    </x:row>
    <x:row r="4" ht="18" customHeight="1">
      <x:c r="A4" t="str">
        <x:v>B01-001</x:v>
      </x:c>
      <x:c r="B4" t="str">
        <x:v>Allai Khwar</x:v>
      </x:c>
      <x:c r="C4" t="str">
        <x:v>Existing (Nov 2024)</x:v>
      </x:c>
      <x:c r="D4" s="26" t="n">
        <x:v>2024</x:v>
      </x:c>
      <x:c r="E4" t="str">
        <x:v>Existing</x:v>
      </x:c>
      <x:c r="F4" t="str">
        <x:v>Hydro</x:v>
      </x:c>
      <x:c r="G4" t="str">
        <x:v>Hydro</x:v>
      </x:c>
      <x:c r="H4" s="20" t="n">
        <x:v>121</x:v>
      </x:c>
      <x:c r="I4" s="20" t="n">
        <x:v>121</x:v>
      </x:c>
      <x:c r="J4" t="str">
        <x:v>Khyber Pakhtunkhwa</x:v>
      </x:c>
      <x:c r="K4" t="str">
        <x:v>Shangla–Battagram corridor</x:v>
      </x:c>
      <x:c r="L4" s="22" t="n">
        <x:v>34.72</x:v>
      </x:c>
      <x:c r="M4" s="22" t="n">
        <x:v>72.89</x:v>
      </x:c>
      <x:c r="N4" t="str">
        <x:v>Cluster proxy</x:v>
      </x:c>
      <x:c r="O4"/>
      <x:c r="P4" t="str">
        <x:v>NGC</x:v>
      </x:c>
      <x:c r="Q4"/>
      <x:c r="R4" t="str">
        <x:v>Allai Khwar</x:v>
      </x:c>
      <x:c r="S4" t="n">
        <x:v>123</x:v>
      </x:c>
      <x:c r="T4" t="str">
        <x:v>Annexure B-1(i)</x:v>
      </x:c>
      <x:c r="U4" t="n">
        <x:v>149</x:v>
      </x:c>
      <x:c r="V4" t="n">
        <x:v>94</x:v>
      </x:c>
      <x:c r="W4" t="str">
        <x:v>Group marker is a geographical cluster proxy, not the plant’s exact site.</x:v>
      </x:c>
      <x:c r="X4" s="24" t="n">
        <x:v>44.43</x:v>
      </x:c>
      <x:c r="Y4" s="24" t="n">
        <x:v>44.31</x:v>
      </x:c>
      <x:c r="Z4" s="24" t="n">
        <x:v>44.43</x:v>
      </x:c>
      <x:c r="AA4" s="24" t="n">
        <x:v>44.43</x:v>
      </x:c>
      <x:c r="AB4" s="24" t="n">
        <x:v>44.35</x:v>
      </x:c>
      <x:c r="AC4" s="24" t="n">
        <x:v>44.22</x:v>
      </x:c>
      <x:c r="AD4" s="24" t="n">
        <x:v>43.7</x:v>
      </x:c>
      <x:c r="AE4" s="24" t="n">
        <x:v>44.35</x:v>
      </x:c>
      <x:c r="AF4" s="24" t="n">
        <x:v>44.35</x:v>
      </x:c>
    </x:row>
    <x:row r="5" ht="18" customHeight="1">
      <x:c r="A5" t="str">
        <x:v>B01-002</x:v>
      </x:c>
      <x:c r="B5" t="str">
        <x:v>Chashma</x:v>
      </x:c>
      <x:c r="C5" t="str">
        <x:v>Existing (Nov 2024)</x:v>
      </x:c>
      <x:c r="D5" s="26" t="n">
        <x:v>2024</x:v>
      </x:c>
      <x:c r="E5" t="str">
        <x:v>Existing</x:v>
      </x:c>
      <x:c r="F5" t="str">
        <x:v>Hydro</x:v>
      </x:c>
      <x:c r="G5" t="str">
        <x:v>Hydro</x:v>
      </x:c>
      <x:c r="H5" s="20" t="n">
        <x:v>184</x:v>
      </x:c>
      <x:c r="I5" s="20" t="n">
        <x:v>184</x:v>
      </x:c>
      <x:c r="J5" t="str">
        <x:v>Punjab</x:v>
      </x:c>
      <x:c r="K5" t="str">
        <x:v>Chashma–Mianwali</x:v>
      </x:c>
      <x:c r="L5" s="22" t="n">
        <x:v>32.43</x:v>
      </x:c>
      <x:c r="M5" s="22" t="n">
        <x:v>71.39</x:v>
      </x:c>
      <x:c r="N5" t="str">
        <x:v>Site vicinity</x:v>
      </x:c>
      <x:c r="O5"/>
      <x:c r="P5" t="str">
        <x:v>NGC</x:v>
      </x:c>
      <x:c r="Q5"/>
      <x:c r="R5" t="str">
        <x:v>Chashma</x:v>
      </x:c>
      <x:c r="S5" t="n">
        <x:v>123</x:v>
      </x:c>
      <x:c r="T5" t="str">
        <x:v>Annexure B-1(i)</x:v>
      </x:c>
      <x:c r="U5" t="n">
        <x:v>149</x:v>
      </x:c>
      <x:c r="V5" t="n">
        <x:v>94</x:v>
      </x:c>
      <x:c r="W5" t="str">
        <x:v>Plant coordinates are not provided in the IGCEP; plotted coordinates are indicative.</x:v>
      </x:c>
      <x:c r="X5" s="24" t="n">
        <x:v>48.91</x:v>
      </x:c>
      <x:c r="Y5" s="24" t="n">
        <x:v>48.78</x:v>
      </x:c>
      <x:c r="Z5" s="24" t="n">
        <x:v>48.91</x:v>
      </x:c>
      <x:c r="AA5" s="24" t="n">
        <x:v>48.91</x:v>
      </x:c>
      <x:c r="AB5" s="24" t="n">
        <x:v>48.91</x:v>
      </x:c>
      <x:c r="AC5" s="24" t="n">
        <x:v>48.78</x:v>
      </x:c>
      <x:c r="AD5" s="24" t="n">
        <x:v>48.91</x:v>
      </x:c>
      <x:c r="AE5" s="24" t="n">
        <x:v>48.91</x:v>
      </x:c>
      <x:c r="AF5" s="24" t="n">
        <x:v>48.91</x:v>
      </x:c>
    </x:row>
    <x:row r="6" ht="18" customHeight="1">
      <x:c r="A6" t="str">
        <x:v>B01-003</x:v>
      </x:c>
      <x:c r="B6" t="str">
        <x:v>Dubair Khwar</x:v>
      </x:c>
      <x:c r="C6" t="str">
        <x:v>Existing (Nov 2024)</x:v>
      </x:c>
      <x:c r="D6" s="26" t="n">
        <x:v>2024</x:v>
      </x:c>
      <x:c r="E6" t="str">
        <x:v>Existing</x:v>
      </x:c>
      <x:c r="F6" t="str">
        <x:v>Hydro</x:v>
      </x:c>
      <x:c r="G6" t="str">
        <x:v>Hydro</x:v>
      </x:c>
      <x:c r="H6" s="20" t="n">
        <x:v>130</x:v>
      </x:c>
      <x:c r="I6" s="20" t="n">
        <x:v>130</x:v>
      </x:c>
      <x:c r="J6" t="str">
        <x:v>Khyber Pakhtunkhwa</x:v>
      </x:c>
      <x:c r="K6" t="str">
        <x:v>Shangla–Battagram corridor</x:v>
      </x:c>
      <x:c r="L6" s="22" t="n">
        <x:v>34.72</x:v>
      </x:c>
      <x:c r="M6" s="22" t="n">
        <x:v>72.89</x:v>
      </x:c>
      <x:c r="N6" t="str">
        <x:v>Cluster proxy</x:v>
      </x:c>
      <x:c r="O6"/>
      <x:c r="P6" t="str">
        <x:v>NGC</x:v>
      </x:c>
      <x:c r="Q6"/>
      <x:c r="R6" t="str">
        <x:v>Dubair Khwar</x:v>
      </x:c>
      <x:c r="S6" t="n">
        <x:v>123</x:v>
      </x:c>
      <x:c r="T6" t="str">
        <x:v>Annexure B-1(i)</x:v>
      </x:c>
      <x:c r="U6" t="n">
        <x:v>149</x:v>
      </x:c>
      <x:c r="V6" t="n">
        <x:v>94</x:v>
      </x:c>
      <x:c r="W6" t="str">
        <x:v>Group marker is a geographical cluster proxy, not the plant’s exact site.</x:v>
      </x:c>
      <x:c r="X6" s="24" t="n">
        <x:v>54.44</x:v>
      </x:c>
      <x:c r="Y6" s="24" t="n">
        <x:v>54.22</x:v>
      </x:c>
      <x:c r="Z6" s="24" t="n">
        <x:v>54.37</x:v>
      </x:c>
      <x:c r="AA6" s="24" t="n">
        <x:v>54.08</x:v>
      </x:c>
      <x:c r="AB6" s="24" t="n">
        <x:v>54.08</x:v>
      </x:c>
      <x:c r="AC6" s="24" t="n">
        <x:v>53.93</x:v>
      </x:c>
      <x:c r="AD6" s="24" t="n">
        <x:v>53.74</x:v>
      </x:c>
      <x:c r="AE6" s="24" t="n">
        <x:v>53.64</x:v>
      </x:c>
      <x:c r="AF6" s="24" t="n">
        <x:v>54.08</x:v>
      </x:c>
    </x:row>
    <x:row r="7" ht="18" customHeight="1">
      <x:c r="A7" t="str">
        <x:v>B01-004</x:v>
      </x:c>
      <x:c r="B7" t="str">
        <x:v>Ghazi Brotha</x:v>
      </x:c>
      <x:c r="C7" t="str">
        <x:v>Existing (Nov 2024)</x:v>
      </x:c>
      <x:c r="D7" s="26" t="n">
        <x:v>2024</x:v>
      </x:c>
      <x:c r="E7" t="str">
        <x:v>Existing</x:v>
      </x:c>
      <x:c r="F7" t="str">
        <x:v>Hydro</x:v>
      </x:c>
      <x:c r="G7" t="str">
        <x:v>Hydro</x:v>
      </x:c>
      <x:c r="H7" s="20" t="n">
        <x:v>1450</x:v>
      </x:c>
      <x:c r="I7" s="20" t="n">
        <x:v>1450</x:v>
      </x:c>
      <x:c r="J7" t="str">
        <x:v>Khyber Pakhtunkhwa</x:v>
      </x:c>
      <x:c r="K7" t="str">
        <x:v>Tarbela–Ghazi Barotha</x:v>
      </x:c>
      <x:c r="L7" s="22" t="n">
        <x:v>34.1</x:v>
      </x:c>
      <x:c r="M7" s="22" t="n">
        <x:v>72.77</x:v>
      </x:c>
      <x:c r="N7" t="str">
        <x:v>Site vicinity</x:v>
      </x:c>
      <x:c r="O7"/>
      <x:c r="P7" t="str">
        <x:v>NGC</x:v>
      </x:c>
      <x:c r="Q7"/>
      <x:c r="R7" t="str">
        <x:v>Ghazi Brotha</x:v>
      </x:c>
      <x:c r="S7" t="n">
        <x:v>123</x:v>
      </x:c>
      <x:c r="T7" t="str">
        <x:v>Annexure B-1(i)</x:v>
      </x:c>
      <x:c r="U7" t="n">
        <x:v>149</x:v>
      </x:c>
      <x:c r="V7" t="n">
        <x:v>94</x:v>
      </x:c>
      <x:c r="W7" t="str">
        <x:v>Plant coordinates are not provided in the IGCEP; plotted coordinates are indicative.</x:v>
      </x:c>
      <x:c r="X7" s="24" t="n">
        <x:v>52.78</x:v>
      </x:c>
      <x:c r="Y7" s="24" t="n">
        <x:v>52.63</x:v>
      </x:c>
      <x:c r="Z7" s="24" t="n">
        <x:v>52.78</x:v>
      </x:c>
      <x:c r="AA7" s="24" t="n">
        <x:v>52.78</x:v>
      </x:c>
      <x:c r="AB7" s="24" t="n">
        <x:v>52.78</x:v>
      </x:c>
      <x:c r="AC7" s="24" t="n">
        <x:v>52.63</x:v>
      </x:c>
      <x:c r="AD7" s="24" t="n">
        <x:v>52.78</x:v>
      </x:c>
      <x:c r="AE7" s="24" t="n">
        <x:v>52.78</x:v>
      </x:c>
      <x:c r="AF7" s="24" t="n">
        <x:v>52.78</x:v>
      </x:c>
    </x:row>
    <x:row r="8" ht="18" customHeight="1">
      <x:c r="A8" t="str">
        <x:v>B01-005</x:v>
      </x:c>
      <x:c r="B8" t="str">
        <x:v>Golen Gol</x:v>
      </x:c>
      <x:c r="C8" t="str">
        <x:v>Existing (Nov 2024)</x:v>
      </x:c>
      <x:c r="D8" s="26" t="n">
        <x:v>2024</x:v>
      </x:c>
      <x:c r="E8" t="str">
        <x:v>Existing</x:v>
      </x:c>
      <x:c r="F8" t="str">
        <x:v>Hydro</x:v>
      </x:c>
      <x:c r="G8" t="str">
        <x:v>Hydro</x:v>
      </x:c>
      <x:c r="H8" s="20" t="n">
        <x:v>108</x:v>
      </x:c>
      <x:c r="I8" s="20" t="n">
        <x:v>108</x:v>
      </x:c>
      <x:c r="J8" t="str">
        <x:v>Khyber Pakhtunkhwa</x:v>
      </x:c>
      <x:c r="K8" t="str">
        <x:v>Golen Gol–Chitral</x:v>
      </x:c>
      <x:c r="L8" s="22" t="n">
        <x:v>36</x:v>
      </x:c>
      <x:c r="M8" s="22" t="n">
        <x:v>71.72</x:v>
      </x:c>
      <x:c r="N8" t="str">
        <x:v>Site vicinity</x:v>
      </x:c>
      <x:c r="O8"/>
      <x:c r="P8" t="str">
        <x:v>NGC</x:v>
      </x:c>
      <x:c r="Q8"/>
      <x:c r="R8" t="str">
        <x:v>Golen Gol</x:v>
      </x:c>
      <x:c r="S8" t="n">
        <x:v>123</x:v>
      </x:c>
      <x:c r="T8" t="str">
        <x:v>Annexure B-1(i)</x:v>
      </x:c>
      <x:c r="U8" t="n">
        <x:v>149</x:v>
      </x:c>
      <x:c r="V8" t="n">
        <x:v>94</x:v>
      </x:c>
      <x:c r="W8" t="str">
        <x:v>Plant coordinates are not provided in the IGCEP; plotted coordinates are indicative.</x:v>
      </x:c>
      <x:c r="X8" s="24" t="n">
        <x:v>9.15</x:v>
      </x:c>
      <x:c r="Y8" s="24" t="n">
        <x:v>9.12</x:v>
      </x:c>
      <x:c r="Z8" s="24" t="n">
        <x:v>9.15</x:v>
      </x:c>
      <x:c r="AA8" s="24" t="n">
        <x:v>9.15</x:v>
      </x:c>
      <x:c r="AB8" s="24" t="n">
        <x:v>9.15</x:v>
      </x:c>
      <x:c r="AC8" s="24" t="n">
        <x:v>9.05</x:v>
      </x:c>
      <x:c r="AD8" s="24" t="n">
        <x:v>8.85</x:v>
      </x:c>
      <x:c r="AE8" s="24" t="n">
        <x:v>8.23</x:v>
      </x:c>
      <x:c r="AF8" s="24" t="n">
        <x:v>8.18</x:v>
      </x:c>
    </x:row>
    <x:row r="9" ht="18" customHeight="1">
      <x:c r="A9" t="str">
        <x:v>B01-006</x:v>
      </x:c>
      <x:c r="B9" t="str">
        <x:v>Jinnah</x:v>
      </x:c>
      <x:c r="C9" t="str">
        <x:v>Existing (Nov 2024)</x:v>
      </x:c>
      <x:c r="D9" s="26" t="n">
        <x:v>2024</x:v>
      </x:c>
      <x:c r="E9" t="str">
        <x:v>Existing</x:v>
      </x:c>
      <x:c r="F9" t="str">
        <x:v>Hydro</x:v>
      </x:c>
      <x:c r="G9" t="str">
        <x:v>Hydro</x:v>
      </x:c>
      <x:c r="H9" s="20" t="n">
        <x:v>96</x:v>
      </x:c>
      <x:c r="I9" s="20" t="n">
        <x:v>36</x:v>
      </x:c>
      <x:c r="J9" t="str">
        <x:v>Punjab</x:v>
      </x:c>
      <x:c r="K9" t="str">
        <x:v>Chashma–Mianwali</x:v>
      </x:c>
      <x:c r="L9" s="22" t="n">
        <x:v>32.43</x:v>
      </x:c>
      <x:c r="M9" s="22" t="n">
        <x:v>71.39</x:v>
      </x:c>
      <x:c r="N9" t="str">
        <x:v>Site vicinity</x:v>
      </x:c>
      <x:c r="O9"/>
      <x:c r="P9" t="str">
        <x:v>NGC</x:v>
      </x:c>
      <x:c r="Q9"/>
      <x:c r="R9" t="str">
        <x:v>Jinnah</x:v>
      </x:c>
      <x:c r="S9" t="n">
        <x:v>124</x:v>
      </x:c>
      <x:c r="T9" t="str">
        <x:v>Annexure B-1(i)</x:v>
      </x:c>
      <x:c r="U9" t="n">
        <x:v>149</x:v>
      </x:c>
      <x:c r="V9" t="n">
        <x:v>94</x:v>
      </x:c>
      <x:c r="W9" t="str">
        <x:v>Plant coordinates are not provided in the IGCEP; plotted coordinates are indicative.</x:v>
      </x:c>
      <x:c r="X9" s="24" t="n">
        <x:v>25.74</x:v>
      </x:c>
      <x:c r="Y9" s="24" t="n">
        <x:v>25.67</x:v>
      </x:c>
      <x:c r="Z9" s="24" t="n">
        <x:v>25.74</x:v>
      </x:c>
      <x:c r="AA9" s="24" t="n">
        <x:v>25.74</x:v>
      </x:c>
      <x:c r="AB9" s="24" t="n">
        <x:v>25.74</x:v>
      </x:c>
      <x:c r="AC9" s="24" t="n">
        <x:v>25.67</x:v>
      </x:c>
      <x:c r="AD9" s="24" t="n">
        <x:v>25.74</x:v>
      </x:c>
      <x:c r="AE9" s="24" t="n">
        <x:v>25.74</x:v>
      </x:c>
      <x:c r="AF9" s="24" t="n">
        <x:v>25.74</x:v>
      </x:c>
    </x:row>
    <x:row r="10" ht="18" customHeight="1">
      <x:c r="A10" t="str">
        <x:v>B01-007</x:v>
      </x:c>
      <x:c r="B10" t="str">
        <x:v>Khan Khwar</x:v>
      </x:c>
      <x:c r="C10" t="str">
        <x:v>Existing (Nov 2024)</x:v>
      </x:c>
      <x:c r="D10" s="26" t="n">
        <x:v>2024</x:v>
      </x:c>
      <x:c r="E10" t="str">
        <x:v>Existing</x:v>
      </x:c>
      <x:c r="F10" t="str">
        <x:v>Hydro</x:v>
      </x:c>
      <x:c r="G10" t="str">
        <x:v>Hydro</x:v>
      </x:c>
      <x:c r="H10" s="20" t="n">
        <x:v>72</x:v>
      </x:c>
      <x:c r="I10" s="20" t="n">
        <x:v>72</x:v>
      </x:c>
      <x:c r="J10" t="str">
        <x:v>Khyber Pakhtunkhwa</x:v>
      </x:c>
      <x:c r="K10" t="str">
        <x:v>Shangla–Battagram corridor</x:v>
      </x:c>
      <x:c r="L10" s="22" t="n">
        <x:v>34.72</x:v>
      </x:c>
      <x:c r="M10" s="22" t="n">
        <x:v>72.89</x:v>
      </x:c>
      <x:c r="N10" t="str">
        <x:v>Cluster proxy</x:v>
      </x:c>
      <x:c r="O10"/>
      <x:c r="P10" t="str">
        <x:v>NGC</x:v>
      </x:c>
      <x:c r="Q10"/>
      <x:c r="R10" t="str">
        <x:v>Khan Khwar</x:v>
      </x:c>
      <x:c r="S10" t="n">
        <x:v>124</x:v>
      </x:c>
      <x:c r="T10" t="str">
        <x:v>Annexure B-1(i)</x:v>
      </x:c>
      <x:c r="U10" t="n">
        <x:v>149</x:v>
      </x:c>
      <x:c r="V10" t="n">
        <x:v>94</x:v>
      </x:c>
      <x:c r="W10" t="str">
        <x:v>Group marker is a geographical cluster proxy, not the plant’s exact site.</x:v>
      </x:c>
      <x:c r="X10" s="24" t="n">
        <x:v>40.22</x:v>
      </x:c>
      <x:c r="Y10" s="24" t="n">
        <x:v>40.11</x:v>
      </x:c>
      <x:c r="Z10" s="24" t="n">
        <x:v>40.22</x:v>
      </x:c>
      <x:c r="AA10" s="24" t="n">
        <x:v>40.22</x:v>
      </x:c>
      <x:c r="AB10" s="24" t="n">
        <x:v>40.22</x:v>
      </x:c>
      <x:c r="AC10" s="24" t="n">
        <x:v>40.11</x:v>
      </x:c>
      <x:c r="AD10" s="24" t="n">
        <x:v>39.76</x:v>
      </x:c>
      <x:c r="AE10" s="24" t="n">
        <x:v>40.22</x:v>
      </x:c>
      <x:c r="AF10" s="24" t="n">
        <x:v>40.22</x:v>
      </x:c>
    </x:row>
    <x:row r="11" ht="18" customHeight="1">
      <x:c r="A11" t="str">
        <x:v>B01-008</x:v>
      </x:c>
      <x:c r="B11" t="str">
        <x:v>Mangla</x:v>
      </x:c>
      <x:c r="C11" t="str">
        <x:v>Existing (Nov 2024)</x:v>
      </x:c>
      <x:c r="D11" s="26" t="n">
        <x:v>2024</x:v>
      </x:c>
      <x:c r="E11" t="str">
        <x:v>Existing</x:v>
      </x:c>
      <x:c r="F11" t="str">
        <x:v>Hydro</x:v>
      </x:c>
      <x:c r="G11" t="str">
        <x:v>Hydro</x:v>
      </x:c>
      <x:c r="H11" s="20" t="n">
        <x:v>1070</x:v>
      </x:c>
      <x:c r="I11" s="20" t="n">
        <x:v>960</x:v>
      </x:c>
      <x:c r="J11" t="str">
        <x:v>Azad Jammu &amp; Kashmir</x:v>
      </x:c>
      <x:c r="K11" t="str">
        <x:v>Mangla–Mirpur</x:v>
      </x:c>
      <x:c r="L11" s="22" t="n">
        <x:v>33.12</x:v>
      </x:c>
      <x:c r="M11" s="22" t="n">
        <x:v>73.65</x:v>
      </x:c>
      <x:c r="N11" t="str">
        <x:v>Site vicinity</x:v>
      </x:c>
      <x:c r="O11"/>
      <x:c r="P11" t="str">
        <x:v>NGC</x:v>
      </x:c>
      <x:c r="Q11"/>
      <x:c r="R11" t="str">
        <x:v>Mangla</x:v>
      </x:c>
      <x:c r="S11" t="n">
        <x:v>124</x:v>
      </x:c>
      <x:c r="T11" t="str">
        <x:v>Annexure B-1(i)</x:v>
      </x:c>
      <x:c r="U11" t="n">
        <x:v>149</x:v>
      </x:c>
      <x:c r="V11" t="n">
        <x:v>94</x:v>
      </x:c>
      <x:c r="W11" t="str">
        <x:v>Plant coordinates are not provided in the IGCEP; plotted coordinates are indicative.</x:v>
      </x:c>
      <x:c r="X11" s="24" t="n">
        <x:v>62.49</x:v>
      </x:c>
      <x:c r="Y11" s="24" t="n">
        <x:v>61.5</x:v>
      </x:c>
      <x:c r="Z11" s="24" t="n">
        <x:v>55.12</x:v>
      </x:c>
      <x:c r="AA11" s="24" t="n">
        <x:v>54.51</x:v>
      </x:c>
      <x:c r="AB11" s="24" t="n">
        <x:v>54.42</x:v>
      </x:c>
      <x:c r="AC11" s="24" t="n">
        <x:v>54.34</x:v>
      </x:c>
      <x:c r="AD11" s="24" t="n">
        <x:v>54.34</x:v>
      </x:c>
      <x:c r="AE11" s="24" t="n">
        <x:v>54.42</x:v>
      </x:c>
      <x:c r="AF11" s="24" t="n">
        <x:v>54.51</x:v>
      </x:c>
    </x:row>
    <x:row r="12" ht="18" customHeight="1">
      <x:c r="A12" t="str">
        <x:v>B01-009</x:v>
      </x:c>
      <x:c r="B12" t="str">
        <x:v>Neelum Jehlum</x:v>
      </x:c>
      <x:c r="C12" t="str">
        <x:v>Existing (Nov 2024)</x:v>
      </x:c>
      <x:c r="D12" s="26" t="n">
        <x:v>2024</x:v>
      </x:c>
      <x:c r="E12" t="str">
        <x:v>Existing</x:v>
      </x:c>
      <x:c r="F12" t="str">
        <x:v>Hydro</x:v>
      </x:c>
      <x:c r="G12" t="str">
        <x:v>Hydro</x:v>
      </x:c>
      <x:c r="H12" s="20" t="n">
        <x:v>969</x:v>
      </x:c>
      <x:c r="I12" s="20" t="n">
        <x:v>0</x:v>
      </x:c>
      <x:c r="J12" t="str">
        <x:v>Azad Jammu &amp; Kashmir</x:v>
      </x:c>
      <x:c r="K12" t="str">
        <x:v>Neelum–Jhelum</x:v>
      </x:c>
      <x:c r="L12" s="22" t="n">
        <x:v>34.28</x:v>
      </x:c>
      <x:c r="M12" s="22" t="n">
        <x:v>73.57</x:v>
      </x:c>
      <x:c r="N12" t="str">
        <x:v>Site vicinity</x:v>
      </x:c>
      <x:c r="O12"/>
      <x:c r="P12" t="str">
        <x:v>NGC</x:v>
      </x:c>
      <x:c r="Q12"/>
      <x:c r="R12" t="str">
        <x:v>Neelum Jehlum</x:v>
      </x:c>
      <x:c r="S12" t="n">
        <x:v>124</x:v>
      </x:c>
      <x:c r="T12" t="str">
        <x:v>Annexure B-1(i)</x:v>
      </x:c>
      <x:c r="U12" t="n">
        <x:v>149</x:v>
      </x:c>
      <x:c r="V12" t="n">
        <x:v>94</x:v>
      </x:c>
      <x:c r="W12" t="str">
        <x:v>Plant coordinates are not provided in the IGCEP; plotted coordinates are indicative.</x:v>
      </x:c>
      <x:c r="X12" s="24" t="n">
        <x:v>53.48</x:v>
      </x:c>
      <x:c r="Y12" s="24" t="n">
        <x:v>53.33</x:v>
      </x:c>
      <x:c r="Z12" s="24" t="n">
        <x:v>53.44</x:v>
      </x:c>
      <x:c r="AA12" s="24" t="n">
        <x:v>53.44</x:v>
      </x:c>
      <x:c r="AB12" s="24" t="n">
        <x:v>53.44</x:v>
      </x:c>
      <x:c r="AC12" s="24" t="n">
        <x:v>53.33</x:v>
      </x:c>
      <x:c r="AD12" s="24" t="n">
        <x:v>53.44</x:v>
      </x:c>
      <x:c r="AE12" s="24" t="n">
        <x:v>53.44</x:v>
      </x:c>
      <x:c r="AF12" s="24" t="n">
        <x:v>53.44</x:v>
      </x:c>
    </x:row>
    <x:row r="13" ht="18" customHeight="1">
      <x:c r="A13" t="str">
        <x:v>B01-010</x:v>
      </x:c>
      <x:c r="B13" t="str">
        <x:v>Tarbela 1-14</x:v>
      </x:c>
      <x:c r="C13" t="str">
        <x:v>Existing (Nov 2024)</x:v>
      </x:c>
      <x:c r="D13" s="26" t="n">
        <x:v>2024</x:v>
      </x:c>
      <x:c r="E13" t="str">
        <x:v>Existing</x:v>
      </x:c>
      <x:c r="F13" t="str">
        <x:v>Hydro</x:v>
      </x:c>
      <x:c r="G13" t="str">
        <x:v>Hydro</x:v>
      </x:c>
      <x:c r="H13" s="20" t="n">
        <x:v>3478</x:v>
      </x:c>
      <x:c r="I13" s="20" t="n">
        <x:v>3478</x:v>
      </x:c>
      <x:c r="J13" t="str">
        <x:v>Khyber Pakhtunkhwa</x:v>
      </x:c>
      <x:c r="K13" t="str">
        <x:v>Tarbela–Ghazi Barotha</x:v>
      </x:c>
      <x:c r="L13" s="22" t="n">
        <x:v>34.1</x:v>
      </x:c>
      <x:c r="M13" s="22" t="n">
        <x:v>72.77</x:v>
      </x:c>
      <x:c r="N13" t="str">
        <x:v>Site vicinity</x:v>
      </x:c>
      <x:c r="O13"/>
      <x:c r="P13" t="str">
        <x:v>NGC</x:v>
      </x:c>
      <x:c r="Q13"/>
      <x:c r="R13" t="str">
        <x:v>Tarbela 1-14</x:v>
      </x:c>
      <x:c r="S13" t="n">
        <x:v>124</x:v>
      </x:c>
      <x:c r="T13" t="str">
        <x:v>Annexure B-1(i)</x:v>
      </x:c>
      <x:c r="U13" t="n">
        <x:v>149</x:v>
      </x:c>
      <x:c r="V13" t="n">
        <x:v>94</x:v>
      </x:c>
      <x:c r="W13" t="str">
        <x:v>Plant coordinates are not provided in the IGCEP; plotted coordinates are indicative.</x:v>
      </x:c>
      <x:c r="X13" s="24" t="n">
        <x:v>38.23</x:v>
      </x:c>
      <x:c r="Y13" s="24" t="n">
        <x:v>38.13</x:v>
      </x:c>
      <x:c r="Z13" s="24" t="n">
        <x:v>38.23</x:v>
      </x:c>
      <x:c r="AA13" s="24" t="n">
        <x:v>38.23</x:v>
      </x:c>
      <x:c r="AB13" s="24" t="n">
        <x:v>38.23</x:v>
      </x:c>
      <x:c r="AC13" s="24" t="n">
        <x:v>38.13</x:v>
      </x:c>
      <x:c r="AD13" s="24" t="n">
        <x:v>38.23</x:v>
      </x:c>
      <x:c r="AE13" s="24" t="n">
        <x:v>38.23</x:v>
      </x:c>
      <x:c r="AF13" s="24" t="n">
        <x:v>38.23</x:v>
      </x:c>
    </x:row>
    <x:row r="14" ht="18" customHeight="1">
      <x:c r="A14" t="str">
        <x:v>B01-011</x:v>
      </x:c>
      <x:c r="B14" t="str">
        <x:v>Tarbela_Ext_04</x:v>
      </x:c>
      <x:c r="C14" t="str">
        <x:v>Existing (Nov 2024)</x:v>
      </x:c>
      <x:c r="D14" s="26" t="n">
        <x:v>2024</x:v>
      </x:c>
      <x:c r="E14" t="str">
        <x:v>Existing</x:v>
      </x:c>
      <x:c r="F14" t="str">
        <x:v>Hydro</x:v>
      </x:c>
      <x:c r="G14" t="str">
        <x:v>Hydro</x:v>
      </x:c>
      <x:c r="H14" s="20" t="n">
        <x:v>1410</x:v>
      </x:c>
      <x:c r="I14" s="20" t="n">
        <x:v>1410</x:v>
      </x:c>
      <x:c r="J14" t="str">
        <x:v>Khyber Pakhtunkhwa</x:v>
      </x:c>
      <x:c r="K14" t="str">
        <x:v>Tarbela–Ghazi Barotha</x:v>
      </x:c>
      <x:c r="L14" s="22" t="n">
        <x:v>34.1</x:v>
      </x:c>
      <x:c r="M14" s="22" t="n">
        <x:v>72.77</x:v>
      </x:c>
      <x:c r="N14" t="str">
        <x:v>Site vicinity</x:v>
      </x:c>
      <x:c r="O14"/>
      <x:c r="P14" t="str">
        <x:v>NGC</x:v>
      </x:c>
      <x:c r="Q14"/>
      <x:c r="R14"/>
      <x:c r="S14"/>
      <x:c r="T14" t="str">
        <x:v>Annexure B-1(i)</x:v>
      </x:c>
      <x:c r="U14" t="n">
        <x:v>149</x:v>
      </x:c>
      <x:c r="V14" t="n">
        <x:v>94</x:v>
      </x:c>
      <x:c r="W14" t="str">
        <x:v>Plant coordinates are not provided in the IGCEP; plotted coordinates are indicative.</x:v>
      </x:c>
      <x:c r="X14" s="24"/>
      <x:c r="Y14" s="24"/>
      <x:c r="Z14" s="24"/>
      <x:c r="AA14" s="24"/>
      <x:c r="AB14" s="24"/>
      <x:c r="AC14" s="24"/>
      <x:c r="AD14" s="24"/>
      <x:c r="AE14" s="24"/>
      <x:c r="AF14" s="24"/>
    </x:row>
    <x:row r="15" ht="18" customHeight="1">
      <x:c r="A15" t="str">
        <x:v>B01-012</x:v>
      </x:c>
      <x:c r="B15" t="str">
        <x:v>Warsak</x:v>
      </x:c>
      <x:c r="C15" t="str">
        <x:v>Existing (Nov 2024)</x:v>
      </x:c>
      <x:c r="D15" s="26" t="n">
        <x:v>2024</x:v>
      </x:c>
      <x:c r="E15" t="str">
        <x:v>Existing</x:v>
      </x:c>
      <x:c r="F15" t="str">
        <x:v>Hydro</x:v>
      </x:c>
      <x:c r="G15" t="str">
        <x:v>Hydro</x:v>
      </x:c>
      <x:c r="H15" s="20" t="n">
        <x:v>243</x:v>
      </x:c>
      <x:c r="I15" s="20" t="n">
        <x:v>160</x:v>
      </x:c>
      <x:c r="J15" t="str">
        <x:v>Khyber Pakhtunkhwa</x:v>
      </x:c>
      <x:c r="K15" t="str">
        <x:v>Warsak–Peshawar</x:v>
      </x:c>
      <x:c r="L15" s="22" t="n">
        <x:v>34.17</x:v>
      </x:c>
      <x:c r="M15" s="22" t="n">
        <x:v>71.43</x:v>
      </x:c>
      <x:c r="N15" t="str">
        <x:v>Site vicinity</x:v>
      </x:c>
      <x:c r="O15"/>
      <x:c r="P15" t="str">
        <x:v>NGC</x:v>
      </x:c>
      <x:c r="Q15"/>
      <x:c r="R15" t="str">
        <x:v>Warsak</x:v>
      </x:c>
      <x:c r="S15" t="n">
        <x:v>124</x:v>
      </x:c>
      <x:c r="T15" t="str">
        <x:v>Annexure B-1(i)</x:v>
      </x:c>
      <x:c r="U15" t="n">
        <x:v>149</x:v>
      </x:c>
      <x:c r="V15" t="n">
        <x:v>94</x:v>
      </x:c>
      <x:c r="W15" t="str">
        <x:v>Plant coordinates are not provided in the IGCEP; plotted coordinates are indicative.</x:v>
      </x:c>
      <x:c r="X15" s="24" t="n">
        <x:v>50.63</x:v>
      </x:c>
      <x:c r="Y15" s="24" t="n">
        <x:v>50.49</x:v>
      </x:c>
      <x:c r="Z15" s="24" t="n">
        <x:v>50.63</x:v>
      </x:c>
      <x:c r="AA15" s="24" t="n">
        <x:v>50.63</x:v>
      </x:c>
      <x:c r="AB15" s="24" t="n">
        <x:v>50.63</x:v>
      </x:c>
      <x:c r="AC15" s="24" t="n">
        <x:v>50.49</x:v>
      </x:c>
      <x:c r="AD15" s="24" t="n">
        <x:v>50.63</x:v>
      </x:c>
      <x:c r="AE15" s="24" t="n">
        <x:v>50.63</x:v>
      </x:c>
      <x:c r="AF15" s="24" t="n">
        <x:v>50.63</x:v>
      </x:c>
    </x:row>
    <x:row r="16" ht="18" customHeight="1">
      <x:c r="A16" t="str">
        <x:v>B01-013</x:v>
      </x:c>
      <x:c r="B16" t="str">
        <x:v>Gomal Zam</x:v>
      </x:c>
      <x:c r="C16" t="str">
        <x:v>Existing (Nov 2024)</x:v>
      </x:c>
      <x:c r="D16" s="26" t="n">
        <x:v>2024</x:v>
      </x:c>
      <x:c r="E16" t="str">
        <x:v>Existing</x:v>
      </x:c>
      <x:c r="F16" t="str">
        <x:v>Hydro</x:v>
      </x:c>
      <x:c r="G16" t="str">
        <x:v>Hydro</x:v>
      </x:c>
      <x:c r="H16" s="20" t="n">
        <x:v>17</x:v>
      </x:c>
      <x:c r="I16" s="20" t="n">
        <x:v>17</x:v>
      </x:c>
      <x:c r="J16" t="str">
        <x:v>Khyber Pakhtunkhwa</x:v>
      </x:c>
      <x:c r="K16" t="str">
        <x:v>Gomal Zam–Tank</x:v>
      </x:c>
      <x:c r="L16" s="22" t="n">
        <x:v>32.08</x:v>
      </x:c>
      <x:c r="M16" s="22" t="n">
        <x:v>69.76</x:v>
      </x:c>
      <x:c r="N16" t="str">
        <x:v>Site vicinity</x:v>
      </x:c>
      <x:c r="O16"/>
      <x:c r="P16" t="str">
        <x:v>NGC</x:v>
      </x:c>
      <x:c r="Q16"/>
      <x:c r="R16"/>
      <x:c r="S16"/>
      <x:c r="T16" t="str">
        <x:v>Annexure B-1(i)</x:v>
      </x:c>
      <x:c r="U16" t="n">
        <x:v>149</x:v>
      </x:c>
      <x:c r="V16" t="n">
        <x:v>94</x:v>
      </x:c>
      <x:c r="W16" t="str">
        <x:v>Plant coordinates are not provided in the IGCEP; plotted coordinates are indicative.</x:v>
      </x:c>
      <x:c r="X16" s="24"/>
      <x:c r="Y16" s="24"/>
      <x:c r="Z16" s="24"/>
      <x:c r="AA16" s="24"/>
      <x:c r="AB16" s="24"/>
      <x:c r="AC16" s="24"/>
      <x:c r="AD16" s="24"/>
      <x:c r="AE16" s="24"/>
      <x:c r="AF16" s="24"/>
    </x:row>
    <x:row r="17" ht="18" customHeight="1">
      <x:c r="A17" t="str">
        <x:v>B01-014</x:v>
      </x:c>
      <x:c r="B17" t="str">
        <x:v>Rasul</x:v>
      </x:c>
      <x:c r="C17" t="str">
        <x:v>Existing (Nov 2024)</x:v>
      </x:c>
      <x:c r="D17" s="26" t="n">
        <x:v>2024</x:v>
      </x:c>
      <x:c r="E17" t="str">
        <x:v>Existing</x:v>
      </x:c>
      <x:c r="F17" t="str">
        <x:v>Hydro</x:v>
      </x:c>
      <x:c r="G17" t="str">
        <x:v>Hydro</x:v>
      </x:c>
      <x:c r="H17" s="20" t="n">
        <x:v>22</x:v>
      </x:c>
      <x:c r="I17" s="20" t="n">
        <x:v>22</x:v>
      </x:c>
      <x:c r="J17" t="str">
        <x:v>Punjab</x:v>
      </x:c>
      <x:c r="K17" t="str">
        <x:v>Rasul Barrage–Mandi Bahauddin</x:v>
      </x:c>
      <x:c r="L17" s="22" t="n">
        <x:v>32.68</x:v>
      </x:c>
      <x:c r="M17" s="22" t="n">
        <x:v>73.54</x:v>
      </x:c>
      <x:c r="N17" t="str">
        <x:v>Site vicinity</x:v>
      </x:c>
      <x:c r="O17"/>
      <x:c r="P17" t="str">
        <x:v>NGC</x:v>
      </x:c>
      <x:c r="Q17"/>
      <x:c r="R17"/>
      <x:c r="S17"/>
      <x:c r="T17" t="str">
        <x:v>Annexure B-1(i)</x:v>
      </x:c>
      <x:c r="U17" t="n">
        <x:v>149</x:v>
      </x:c>
      <x:c r="V17" t="n">
        <x:v>94</x:v>
      </x:c>
      <x:c r="W17" t="str">
        <x:v>Plant coordinates are not provided in the IGCEP; plotted coordinates are indicative.</x:v>
      </x:c>
      <x:c r="X17" s="24"/>
      <x:c r="Y17" s="24"/>
      <x:c r="Z17" s="24"/>
      <x:c r="AA17" s="24"/>
      <x:c r="AB17" s="24"/>
      <x:c r="AC17" s="24"/>
      <x:c r="AD17" s="24"/>
      <x:c r="AE17" s="24"/>
      <x:c r="AF17" s="24"/>
    </x:row>
    <x:row r="18" ht="18" customHeight="1">
      <x:c r="A18" t="str">
        <x:v>B01-015</x:v>
      </x:c>
      <x:c r="B18" t="str">
        <x:v>Dargai</x:v>
      </x:c>
      <x:c r="C18" t="str">
        <x:v>Existing (Nov 2024)</x:v>
      </x:c>
      <x:c r="D18" s="26" t="n">
        <x:v>2024</x:v>
      </x:c>
      <x:c r="E18" t="str">
        <x:v>Existing</x:v>
      </x:c>
      <x:c r="F18" t="str">
        <x:v>Hydro</x:v>
      </x:c>
      <x:c r="G18" t="str">
        <x:v>Hydro</x:v>
      </x:c>
      <x:c r="H18" s="20" t="n">
        <x:v>20</x:v>
      </x:c>
      <x:c r="I18" s="20" t="n">
        <x:v>20</x:v>
      </x:c>
      <x:c r="J18" t="str">
        <x:v>Khyber Pakhtunkhwa</x:v>
      </x:c>
      <x:c r="K18" t="str">
        <x:v>Dargai–Jabban</x:v>
      </x:c>
      <x:c r="L18" s="22" t="n">
        <x:v>34.51</x:v>
      </x:c>
      <x:c r="M18" s="22" t="n">
        <x:v>71.9</x:v>
      </x:c>
      <x:c r="N18" t="str">
        <x:v>Cluster proxy</x:v>
      </x:c>
      <x:c r="O18"/>
      <x:c r="P18" t="str">
        <x:v>NGC</x:v>
      </x:c>
      <x:c r="Q18"/>
      <x:c r="R18"/>
      <x:c r="S18"/>
      <x:c r="T18" t="str">
        <x:v>Annexure B-1(i)</x:v>
      </x:c>
      <x:c r="U18" t="n">
        <x:v>149</x:v>
      </x:c>
      <x:c r="V18" t="n">
        <x:v>94</x:v>
      </x:c>
      <x:c r="W18" t="str">
        <x:v>Group marker is a geographical cluster proxy, not the plant’s exact site.</x:v>
      </x:c>
      <x:c r="X18" s="24"/>
      <x:c r="Y18" s="24"/>
      <x:c r="Z18" s="24"/>
      <x:c r="AA18" s="24"/>
      <x:c r="AB18" s="24"/>
      <x:c r="AC18" s="24"/>
      <x:c r="AD18" s="24"/>
      <x:c r="AE18" s="24"/>
      <x:c r="AF18" s="24"/>
    </x:row>
    <x:row r="19" ht="18" customHeight="1">
      <x:c r="A19" t="str">
        <x:v>B01-016</x:v>
      </x:c>
      <x:c r="B19" t="str">
        <x:v>Nandipur</x:v>
      </x:c>
      <x:c r="C19" t="str">
        <x:v>Existing (Nov 2024)</x:v>
      </x:c>
      <x:c r="D19" s="26" t="n">
        <x:v>2024</x:v>
      </x:c>
      <x:c r="E19" t="str">
        <x:v>Existing</x:v>
      </x:c>
      <x:c r="F19" t="str">
        <x:v>Hydro</x:v>
      </x:c>
      <x:c r="G19" t="str">
        <x:v>Hydro</x:v>
      </x:c>
      <x:c r="H19" s="20" t="n">
        <x:v>14</x:v>
      </x:c>
      <x:c r="I19" s="20" t="n">
        <x:v>14</x:v>
      </x:c>
      <x:c r="J19" t="str">
        <x:v>Punjab</x:v>
      </x:c>
      <x:c r="K19" t="str">
        <x:v>Nandipur–Gujranwala</x:v>
      </x:c>
      <x:c r="L19" s="22" t="n">
        <x:v>32.19</x:v>
      </x:c>
      <x:c r="M19" s="22" t="n">
        <x:v>74.13</x:v>
      </x:c>
      <x:c r="N19" t="str">
        <x:v>Site vicinity</x:v>
      </x:c>
      <x:c r="O19"/>
      <x:c r="P19" t="str">
        <x:v>NGC</x:v>
      </x:c>
      <x:c r="Q19"/>
      <x:c r="R19"/>
      <x:c r="S19"/>
      <x:c r="T19" t="str">
        <x:v>Annexure B-1(i)</x:v>
      </x:c>
      <x:c r="U19" t="n">
        <x:v>149</x:v>
      </x:c>
      <x:c r="V19" t="n">
        <x:v>94</x:v>
      </x:c>
      <x:c r="W19" t="str">
        <x:v>Plant coordinates are not provided in the IGCEP; plotted coordinates are indicative.</x:v>
      </x:c>
      <x:c r="X19" s="24"/>
      <x:c r="Y19" s="24"/>
      <x:c r="Z19" s="24"/>
      <x:c r="AA19" s="24"/>
      <x:c r="AB19" s="24"/>
      <x:c r="AC19" s="24"/>
      <x:c r="AD19" s="24"/>
      <x:c r="AE19" s="24"/>
      <x:c r="AF19" s="24"/>
    </x:row>
    <x:row r="20" ht="18" customHeight="1">
      <x:c r="A20" t="str">
        <x:v>B01-017</x:v>
      </x:c>
      <x:c r="B20" t="str">
        <x:v>Shadiwal</x:v>
      </x:c>
      <x:c r="C20" t="str">
        <x:v>Existing (Nov 2024)</x:v>
      </x:c>
      <x:c r="D20" s="26" t="n">
        <x:v>2024</x:v>
      </x:c>
      <x:c r="E20" t="str">
        <x:v>Existing</x:v>
      </x:c>
      <x:c r="F20" t="str">
        <x:v>Hydro</x:v>
      </x:c>
      <x:c r="G20" t="str">
        <x:v>Hydro</x:v>
      </x:c>
      <x:c r="H20" s="20" t="n">
        <x:v>14</x:v>
      </x:c>
      <x:c r="I20" s="20" t="n">
        <x:v>14</x:v>
      </x:c>
      <x:c r="J20" t="str">
        <x:v>Punjab</x:v>
      </x:c>
      <x:c r="K20" t="str">
        <x:v>Shadiwal–Gujrat</x:v>
      </x:c>
      <x:c r="L20" s="22" t="n">
        <x:v>32.63</x:v>
      </x:c>
      <x:c r="M20" s="22" t="n">
        <x:v>74.08</x:v>
      </x:c>
      <x:c r="N20" t="str">
        <x:v>Site vicinity</x:v>
      </x:c>
      <x:c r="O20"/>
      <x:c r="P20" t="str">
        <x:v>NGC</x:v>
      </x:c>
      <x:c r="Q20"/>
      <x:c r="R20"/>
      <x:c r="S20"/>
      <x:c r="T20" t="str">
        <x:v>Annexure B-1(i)</x:v>
      </x:c>
      <x:c r="U20" t="n">
        <x:v>149</x:v>
      </x:c>
      <x:c r="V20" t="n">
        <x:v>94</x:v>
      </x:c>
      <x:c r="W20" t="str">
        <x:v>Plant coordinates are not provided in the IGCEP; plotted coordinates are indicative.</x:v>
      </x:c>
      <x:c r="X20" s="24"/>
      <x:c r="Y20" s="24"/>
      <x:c r="Z20" s="24"/>
      <x:c r="AA20" s="24"/>
      <x:c r="AB20" s="24"/>
      <x:c r="AC20" s="24"/>
      <x:c r="AD20" s="24"/>
      <x:c r="AE20" s="24"/>
      <x:c r="AF20" s="24"/>
    </x:row>
    <x:row r="21" ht="18" customHeight="1">
      <x:c r="A21" t="str">
        <x:v>B01-018</x:v>
      </x:c>
      <x:c r="B21" t="str">
        <x:v>Chichoki</x:v>
      </x:c>
      <x:c r="C21" t="str">
        <x:v>Existing (Nov 2024)</x:v>
      </x:c>
      <x:c r="D21" s="26" t="n">
        <x:v>2024</x:v>
      </x:c>
      <x:c r="E21" t="str">
        <x:v>Existing</x:v>
      </x:c>
      <x:c r="F21" t="str">
        <x:v>Hydro</x:v>
      </x:c>
      <x:c r="G21" t="str">
        <x:v>Hydro</x:v>
      </x:c>
      <x:c r="H21" s="20" t="n">
        <x:v>13</x:v>
      </x:c>
      <x:c r="I21" s="20" t="n">
        <x:v>13</x:v>
      </x:c>
      <x:c r="J21" t="str">
        <x:v>Punjab</x:v>
      </x:c>
      <x:c r="K21" t="str">
        <x:v>Chichoki Mallian–Sheikhupura</x:v>
      </x:c>
      <x:c r="L21" s="22" t="n">
        <x:v>31.73</x:v>
      </x:c>
      <x:c r="M21" s="22" t="n">
        <x:v>74.14</x:v>
      </x:c>
      <x:c r="N21" t="str">
        <x:v>Regional locality</x:v>
      </x:c>
      <x:c r="O21"/>
      <x:c r="P21" t="str">
        <x:v>NGC</x:v>
      </x:c>
      <x:c r="Q21"/>
      <x:c r="R21"/>
      <x:c r="S21"/>
      <x:c r="T21" t="str">
        <x:v>Annexure B-1(i)</x:v>
      </x:c>
      <x:c r="U21" t="n">
        <x:v>149</x:v>
      </x:c>
      <x:c r="V21" t="n">
        <x:v>94</x:v>
      </x:c>
      <x:c r="W21" t="str">
        <x:v>Plant coordinates are not provided in the IGCEP; plotted coordinates are indicative.</x:v>
      </x:c>
      <x:c r="X21" s="24"/>
      <x:c r="Y21" s="24"/>
      <x:c r="Z21" s="24"/>
      <x:c r="AA21" s="24"/>
      <x:c r="AB21" s="24"/>
      <x:c r="AC21" s="24"/>
      <x:c r="AD21" s="24"/>
      <x:c r="AE21" s="24"/>
      <x:c r="AF21" s="24"/>
    </x:row>
    <x:row r="22" ht="18" customHeight="1">
      <x:c r="A22" t="str">
        <x:v>B01-019</x:v>
      </x:c>
      <x:c r="B22" t="str">
        <x:v>Kurram Garhi</x:v>
      </x:c>
      <x:c r="C22" t="str">
        <x:v>Existing (Nov 2024)</x:v>
      </x:c>
      <x:c r="D22" s="26" t="n">
        <x:v>2024</x:v>
      </x:c>
      <x:c r="E22" t="str">
        <x:v>Existing</x:v>
      </x:c>
      <x:c r="F22" t="str">
        <x:v>Hydro</x:v>
      </x:c>
      <x:c r="G22" t="str">
        <x:v>Hydro</x:v>
      </x:c>
      <x:c r="H22" s="20" t="n">
        <x:v>4</x:v>
      </x:c>
      <x:c r="I22" s="20" t="n">
        <x:v>4</x:v>
      </x:c>
      <x:c r="J22" t="str">
        <x:v>Unspecified / distributed</x:v>
      </x:c>
      <x:c r="K22"/>
      <x:c r="L22" s="22"/>
      <x:c r="M22" s="22"/>
      <x:c r="N22" t="str">
        <x:v>Not located in IGCEP</x:v>
      </x:c>
      <x:c r="O22"/>
      <x:c r="P22" t="str">
        <x:v>NGC</x:v>
      </x:c>
      <x:c r="Q22"/>
      <x:c r="R22"/>
      <x:c r="S22"/>
      <x:c r="T22" t="str">
        <x:v>Annexure B-1(i)</x:v>
      </x:c>
      <x:c r="U22" t="n">
        <x:v>149</x:v>
      </x:c>
      <x:c r="V22" t="n">
        <x:v>94</x:v>
      </x:c>
      <x:c r="W22" t="str">
        <x:v>Plant coordinates are not provided in the IGCEP; plotted coordinates are indicative.</x:v>
      </x:c>
      <x:c r="X22" s="24"/>
      <x:c r="Y22" s="24"/>
      <x:c r="Z22" s="24"/>
      <x:c r="AA22" s="24"/>
      <x:c r="AB22" s="24"/>
      <x:c r="AC22" s="24"/>
      <x:c r="AD22" s="24"/>
      <x:c r="AE22" s="24"/>
      <x:c r="AF22" s="24"/>
    </x:row>
    <x:row r="23" ht="18" customHeight="1">
      <x:c r="A23" t="str">
        <x:v>B01-020</x:v>
      </x:c>
      <x:c r="B23" t="str">
        <x:v>Renala</x:v>
      </x:c>
      <x:c r="C23" t="str">
        <x:v>Existing (Nov 2024)</x:v>
      </x:c>
      <x:c r="D23" s="26" t="n">
        <x:v>2024</x:v>
      </x:c>
      <x:c r="E23" t="str">
        <x:v>Existing</x:v>
      </x:c>
      <x:c r="F23" t="str">
        <x:v>Hydro</x:v>
      </x:c>
      <x:c r="G23" t="str">
        <x:v>Hydro</x:v>
      </x:c>
      <x:c r="H23" s="20" t="n">
        <x:v>1</x:v>
      </x:c>
      <x:c r="I23" s="20" t="n">
        <x:v>1</x:v>
      </x:c>
      <x:c r="J23" t="str">
        <x:v>Punjab</x:v>
      </x:c>
      <x:c r="K23" t="str">
        <x:v>Renala Khurd</x:v>
      </x:c>
      <x:c r="L23" s="22" t="n">
        <x:v>30.89</x:v>
      </x:c>
      <x:c r="M23" s="22" t="n">
        <x:v>73.6</x:v>
      </x:c>
      <x:c r="N23" t="str">
        <x:v>Regional locality</x:v>
      </x:c>
      <x:c r="O23"/>
      <x:c r="P23" t="str">
        <x:v>NGC</x:v>
      </x:c>
      <x:c r="Q23"/>
      <x:c r="R23"/>
      <x:c r="S23"/>
      <x:c r="T23" t="str">
        <x:v>Annexure B-1(i)</x:v>
      </x:c>
      <x:c r="U23" t="n">
        <x:v>149</x:v>
      </x:c>
      <x:c r="V23" t="n">
        <x:v>94</x:v>
      </x:c>
      <x:c r="W23" t="str">
        <x:v>Plant coordinates are not provided in the IGCEP; plotted coordinates are indicative.</x:v>
      </x:c>
      <x:c r="X23" s="24"/>
      <x:c r="Y23" s="24"/>
      <x:c r="Z23" s="24"/>
      <x:c r="AA23" s="24"/>
      <x:c r="AB23" s="24"/>
      <x:c r="AC23" s="24"/>
      <x:c r="AD23" s="24"/>
      <x:c r="AE23" s="24"/>
      <x:c r="AF23" s="24"/>
    </x:row>
    <x:row r="24" ht="18" customHeight="1">
      <x:c r="A24" t="str">
        <x:v>B01-021</x:v>
      </x:c>
      <x:c r="B24" t="str">
        <x:v>Chitral</x:v>
      </x:c>
      <x:c r="C24" t="str">
        <x:v>Existing (Nov 2024)</x:v>
      </x:c>
      <x:c r="D24" s="26" t="n">
        <x:v>2024</x:v>
      </x:c>
      <x:c r="E24" t="str">
        <x:v>Existing</x:v>
      </x:c>
      <x:c r="F24" t="str">
        <x:v>Hydro</x:v>
      </x:c>
      <x:c r="G24" t="str">
        <x:v>Hydro</x:v>
      </x:c>
      <x:c r="H24" s="20" t="n">
        <x:v>1</x:v>
      </x:c>
      <x:c r="I24" s="20" t="n">
        <x:v>1</x:v>
      </x:c>
      <x:c r="J24" t="str">
        <x:v>Khyber Pakhtunkhwa</x:v>
      </x:c>
      <x:c r="K24" t="str">
        <x:v>Chitral</x:v>
      </x:c>
      <x:c r="L24" s="22" t="n">
        <x:v>35.85</x:v>
      </x:c>
      <x:c r="M24" s="22" t="n">
        <x:v>71.79</x:v>
      </x:c>
      <x:c r="N24" t="str">
        <x:v>Regional locality</x:v>
      </x:c>
      <x:c r="O24"/>
      <x:c r="P24" t="str">
        <x:v>NGC</x:v>
      </x:c>
      <x:c r="Q24"/>
      <x:c r="R24"/>
      <x:c r="S24"/>
      <x:c r="T24" t="str">
        <x:v>Annexure B-1(i)</x:v>
      </x:c>
      <x:c r="U24" t="n">
        <x:v>149</x:v>
      </x:c>
      <x:c r="V24" t="n">
        <x:v>94</x:v>
      </x:c>
      <x:c r="W24" t="str">
        <x:v>Plant coordinates are not provided in the IGCEP; plotted coordinates are indicative.</x:v>
      </x:c>
      <x:c r="X24" s="24"/>
      <x:c r="Y24" s="24"/>
      <x:c r="Z24" s="24"/>
      <x:c r="AA24" s="24"/>
      <x:c r="AB24" s="24"/>
      <x:c r="AC24" s="24"/>
      <x:c r="AD24" s="24"/>
      <x:c r="AE24" s="24"/>
      <x:c r="AF24" s="24"/>
    </x:row>
    <x:row r="25" ht="18" customHeight="1">
      <x:c r="A25" t="str">
        <x:v>B01-022</x:v>
      </x:c>
      <x:c r="B25" t="str">
        <x:v>Jabban</x:v>
      </x:c>
      <x:c r="C25" t="str">
        <x:v>Existing (Nov 2024)</x:v>
      </x:c>
      <x:c r="D25" s="26" t="n">
        <x:v>2024</x:v>
      </x:c>
      <x:c r="E25" t="str">
        <x:v>Existing</x:v>
      </x:c>
      <x:c r="F25" t="str">
        <x:v>Hydro</x:v>
      </x:c>
      <x:c r="G25" t="str">
        <x:v>Hydro</x:v>
      </x:c>
      <x:c r="H25" s="20" t="n">
        <x:v>22</x:v>
      </x:c>
      <x:c r="I25" s="20" t="n">
        <x:v>22</x:v>
      </x:c>
      <x:c r="J25" t="str">
        <x:v>Khyber Pakhtunkhwa</x:v>
      </x:c>
      <x:c r="K25" t="str">
        <x:v>Dargai–Jabban</x:v>
      </x:c>
      <x:c r="L25" s="22" t="n">
        <x:v>34.51</x:v>
      </x:c>
      <x:c r="M25" s="22" t="n">
        <x:v>71.9</x:v>
      </x:c>
      <x:c r="N25" t="str">
        <x:v>Cluster proxy</x:v>
      </x:c>
      <x:c r="O25"/>
      <x:c r="P25" t="str">
        <x:v>NGC</x:v>
      </x:c>
      <x:c r="Q25"/>
      <x:c r="R25"/>
      <x:c r="S25"/>
      <x:c r="T25" t="str">
        <x:v>Annexure B-1(i)</x:v>
      </x:c>
      <x:c r="U25" t="n">
        <x:v>149</x:v>
      </x:c>
      <x:c r="V25" t="n">
        <x:v>94</x:v>
      </x:c>
      <x:c r="W25" t="str">
        <x:v>Group marker is a geographical cluster proxy, not the plant’s exact site.</x:v>
      </x:c>
      <x:c r="X25" s="24"/>
      <x:c r="Y25" s="24"/>
      <x:c r="Z25" s="24"/>
      <x:c r="AA25" s="24"/>
      <x:c r="AB25" s="24"/>
      <x:c r="AC25" s="24"/>
      <x:c r="AD25" s="24"/>
      <x:c r="AE25" s="24"/>
      <x:c r="AF25" s="24"/>
    </x:row>
    <x:row r="26" ht="18" customHeight="1">
      <x:c r="A26" t="str">
        <x:v>B01-023</x:v>
      </x:c>
      <x:c r="B26" t="str">
        <x:v>Guddu 747</x:v>
      </x:c>
      <x:c r="C26" t="str">
        <x:v>Existing (Nov 2024)</x:v>
      </x:c>
      <x:c r="D26" s="26" t="n">
        <x:v>2024</x:v>
      </x:c>
      <x:c r="E26" t="str">
        <x:v>Existing</x:v>
      </x:c>
      <x:c r="F26" t="str">
        <x:v>Gas</x:v>
      </x:c>
      <x:c r="G26" t="str">
        <x:v>Gas</x:v>
      </x:c>
      <x:c r="H26" s="20" t="n">
        <x:v>747</x:v>
      </x:c>
      <x:c r="I26" s="20" t="n">
        <x:v>486</x:v>
      </x:c>
      <x:c r="J26" t="str">
        <x:v>Sindh</x:v>
      </x:c>
      <x:c r="K26" t="str">
        <x:v>Guddu–Kashmore</x:v>
      </x:c>
      <x:c r="L26" s="22" t="n">
        <x:v>28.42</x:v>
      </x:c>
      <x:c r="M26" s="22" t="n">
        <x:v>69.7</x:v>
      </x:c>
      <x:c r="N26" t="str">
        <x:v>Site vicinity</x:v>
      </x:c>
      <x:c r="O26"/>
      <x:c r="P26" t="str">
        <x:v>NGC</x:v>
      </x:c>
      <x:c r="Q26"/>
      <x:c r="R26"/>
      <x:c r="S26"/>
      <x:c r="T26" t="str">
        <x:v>Annexure B-1(i)</x:v>
      </x:c>
      <x:c r="U26" t="n">
        <x:v>149</x:v>
      </x:c>
      <x:c r="V26" t="n">
        <x:v>94</x:v>
      </x:c>
      <x:c r="W26" t="str">
        <x:v>Plant coordinates are not provided in the IGCEP; plotted coordinates are indicative.</x:v>
      </x:c>
      <x:c r="X26" s="24"/>
      <x:c r="Y26" s="24"/>
      <x:c r="Z26" s="24"/>
      <x:c r="AA26" s="24"/>
      <x:c r="AB26" s="24"/>
      <x:c r="AC26" s="24"/>
      <x:c r="AD26" s="24"/>
      <x:c r="AE26" s="24"/>
      <x:c r="AF26" s="24"/>
    </x:row>
    <x:row r="27" ht="18" customHeight="1">
      <x:c r="A27" t="str">
        <x:v>B01-024</x:v>
      </x:c>
      <x:c r="B27" t="str">
        <x:v>Nandipur</x:v>
      </x:c>
      <x:c r="C27" t="str">
        <x:v>Existing (Nov 2024)</x:v>
      </x:c>
      <x:c r="D27" s="26" t="n">
        <x:v>2024</x:v>
      </x:c>
      <x:c r="E27" t="str">
        <x:v>Existing</x:v>
      </x:c>
      <x:c r="F27" t="str">
        <x:v>RLNG</x:v>
      </x:c>
      <x:c r="G27" t="str">
        <x:v>RLNG</x:v>
      </x:c>
      <x:c r="H27" s="20" t="n">
        <x:v>525</x:v>
      </x:c>
      <x:c r="I27" s="20" t="n">
        <x:v>525</x:v>
      </x:c>
      <x:c r="J27" t="str">
        <x:v>Punjab</x:v>
      </x:c>
      <x:c r="K27" t="str">
        <x:v>Nandipur–Gujranwala</x:v>
      </x:c>
      <x:c r="L27" s="22" t="n">
        <x:v>32.19</x:v>
      </x:c>
      <x:c r="M27" s="22" t="n">
        <x:v>74.13</x:v>
      </x:c>
      <x:c r="N27" t="str">
        <x:v>Site vicinity</x:v>
      </x:c>
      <x:c r="O27"/>
      <x:c r="P27" t="str">
        <x:v>NGC</x:v>
      </x:c>
      <x:c r="Q27"/>
      <x:c r="R27" t="str">
        <x:v>Nandipur</x:v>
      </x:c>
      <x:c r="S27" t="n">
        <x:v>125</x:v>
      </x:c>
      <x:c r="T27" t="str">
        <x:v>Annexure B-1(i)</x:v>
      </x:c>
      <x:c r="U27" t="n">
        <x:v>149</x:v>
      </x:c>
      <x:c r="V27" t="n">
        <x:v>94</x:v>
      </x:c>
      <x:c r="W27" t="str">
        <x:v>Plant coordinates are not provided in the IGCEP; plotted coordinates are indicative.</x:v>
      </x:c>
      <x:c r="X27" s="24" t="n">
        <x:v>0.29</x:v>
      </x:c>
      <x:c r="Y27" s="24" t="n">
        <x:v>1.76</x:v>
      </x:c>
      <x:c r="Z27" s="24" t="n">
        <x:v>1.98</x:v>
      </x:c>
      <x:c r="AA27" s="24" t="n">
        <x:v>3.33</x:v>
      </x:c>
      <x:c r="AB27" s="24" t="n">
        <x:v>4.92</x:v>
      </x:c>
      <x:c r="AC27" s="24" t="n">
        <x:v>4.66</x:v>
      </x:c>
      <x:c r="AD27" s="24" t="n">
        <x:v>0</x:v>
      </x:c>
      <x:c r="AE27" s="24" t="n">
        <x:v>0</x:v>
      </x:c>
      <x:c r="AF27" s="24" t="n">
        <x:v>0</x:v>
      </x:c>
    </x:row>
    <x:row r="28" ht="18" customHeight="1">
      <x:c r="A28" t="str">
        <x:v>B01-025</x:v>
      </x:c>
      <x:c r="B28" t="str">
        <x:v>CHASHNUPP - I</x:v>
      </x:c>
      <x:c r="C28" t="str">
        <x:v>Existing (Nov 2024)</x:v>
      </x:c>
      <x:c r="D28" s="26" t="n">
        <x:v>2024</x:v>
      </x:c>
      <x:c r="E28" t="str">
        <x:v>Existing</x:v>
      </x:c>
      <x:c r="F28" t="str">
        <x:v>Nuclear</x:v>
      </x:c>
      <x:c r="G28" t="str">
        <x:v>Nuclear</x:v>
      </x:c>
      <x:c r="H28" s="20" t="n">
        <x:v>325</x:v>
      </x:c>
      <x:c r="I28" s="20" t="n">
        <x:v>300</x:v>
      </x:c>
      <x:c r="J28" t="str">
        <x:v>Punjab</x:v>
      </x:c>
      <x:c r="K28" t="str">
        <x:v>Chashma–Mianwali</x:v>
      </x:c>
      <x:c r="L28" s="22" t="n">
        <x:v>32.43</x:v>
      </x:c>
      <x:c r="M28" s="22" t="n">
        <x:v>71.39</x:v>
      </x:c>
      <x:c r="N28" t="str">
        <x:v>Site vicinity</x:v>
      </x:c>
      <x:c r="O28"/>
      <x:c r="P28" t="str">
        <x:v>NGC</x:v>
      </x:c>
      <x:c r="Q28"/>
      <x:c r="R28" t="str">
        <x:v>C-1</x:v>
      </x:c>
      <x:c r="S28" t="n">
        <x:v>124</x:v>
      </x:c>
      <x:c r="T28" t="str">
        <x:v>Annexure B-1(i)</x:v>
      </x:c>
      <x:c r="U28" t="n">
        <x:v>150</x:v>
      </x:c>
      <x:c r="V28" t="n">
        <x:v>95</x:v>
      </x:c>
      <x:c r="W28" t="str">
        <x:v>Plant coordinates are not provided in the IGCEP; plotted coordinates are indicative.</x:v>
      </x:c>
      <x:c r="X28" s="24" t="n">
        <x:v>90</x:v>
      </x:c>
      <x:c r="Y28" s="24" t="n">
        <x:v>90.24</x:v>
      </x:c>
      <x:c r="Z28" s="24" t="n">
        <x:v>89.97</x:v>
      </x:c>
      <x:c r="AA28" s="24" t="n">
        <x:v>89.91</x:v>
      </x:c>
      <x:c r="AB28" s="24" t="n">
        <x:v>89.81</x:v>
      </x:c>
      <x:c r="AC28" s="24" t="n">
        <x:v>89.84</x:v>
      </x:c>
      <x:c r="AD28" s="24" t="n">
        <x:v>88.85</x:v>
      </x:c>
      <x:c r="AE28" s="24" t="n">
        <x:v>88.03</x:v>
      </x:c>
      <x:c r="AF28" s="24" t="n">
        <x:v>89.11</x:v>
      </x:c>
    </x:row>
    <x:row r="29" ht="18" customHeight="1">
      <x:c r="A29" t="str">
        <x:v>B01-026</x:v>
      </x:c>
      <x:c r="B29" t="str">
        <x:v>CHASHNUPP-II</x:v>
      </x:c>
      <x:c r="C29" t="str">
        <x:v>Existing (Nov 2024)</x:v>
      </x:c>
      <x:c r="D29" s="26" t="n">
        <x:v>2024</x:v>
      </x:c>
      <x:c r="E29" t="str">
        <x:v>Existing</x:v>
      </x:c>
      <x:c r="F29" t="str">
        <x:v>Nuclear</x:v>
      </x:c>
      <x:c r="G29" t="str">
        <x:v>Nuclear</x:v>
      </x:c>
      <x:c r="H29" s="20" t="n">
        <x:v>325</x:v>
      </x:c>
      <x:c r="I29" s="20" t="n">
        <x:v>300</x:v>
      </x:c>
      <x:c r="J29" t="str">
        <x:v>Punjab</x:v>
      </x:c>
      <x:c r="K29" t="str">
        <x:v>Chashma–Mianwali</x:v>
      </x:c>
      <x:c r="L29" s="22" t="n">
        <x:v>32.43</x:v>
      </x:c>
      <x:c r="M29" s="22" t="n">
        <x:v>71.39</x:v>
      </x:c>
      <x:c r="N29" t="str">
        <x:v>Site vicinity</x:v>
      </x:c>
      <x:c r="O29"/>
      <x:c r="P29" t="str">
        <x:v>NGC</x:v>
      </x:c>
      <x:c r="Q29"/>
      <x:c r="R29" t="str">
        <x:v>C-2</x:v>
      </x:c>
      <x:c r="S29" t="n">
        <x:v>124</x:v>
      </x:c>
      <x:c r="T29" t="str">
        <x:v>Annexure B-1(i)</x:v>
      </x:c>
      <x:c r="U29" t="n">
        <x:v>150</x:v>
      </x:c>
      <x:c r="V29" t="n">
        <x:v>95</x:v>
      </x:c>
      <x:c r="W29" t="str">
        <x:v>Plant coordinates are not provided in the IGCEP; plotted coordinates are indicative.</x:v>
      </x:c>
      <x:c r="X29" s="24" t="n">
        <x:v>90</x:v>
      </x:c>
      <x:c r="Y29" s="24" t="n">
        <x:v>90.24</x:v>
      </x:c>
      <x:c r="Z29" s="24" t="n">
        <x:v>89.97</x:v>
      </x:c>
      <x:c r="AA29" s="24" t="n">
        <x:v>89.91</x:v>
      </x:c>
      <x:c r="AB29" s="24" t="n">
        <x:v>89.81</x:v>
      </x:c>
      <x:c r="AC29" s="24" t="n">
        <x:v>89.84</x:v>
      </x:c>
      <x:c r="AD29" s="24" t="n">
        <x:v>88.85</x:v>
      </x:c>
      <x:c r="AE29" s="24" t="n">
        <x:v>88.02</x:v>
      </x:c>
      <x:c r="AF29" s="24" t="n">
        <x:v>89.16</x:v>
      </x:c>
    </x:row>
    <x:row r="30" ht="18" customHeight="1">
      <x:c r="A30" t="str">
        <x:v>B01-027</x:v>
      </x:c>
      <x:c r="B30" t="str">
        <x:v>CHASHNUPP-III</x:v>
      </x:c>
      <x:c r="C30" t="str">
        <x:v>Existing (Nov 2024)</x:v>
      </x:c>
      <x:c r="D30" s="26" t="n">
        <x:v>2024</x:v>
      </x:c>
      <x:c r="E30" t="str">
        <x:v>Existing</x:v>
      </x:c>
      <x:c r="F30" t="str">
        <x:v>Nuclear</x:v>
      </x:c>
      <x:c r="G30" t="str">
        <x:v>Nuclear</x:v>
      </x:c>
      <x:c r="H30" s="20" t="n">
        <x:v>340</x:v>
      </x:c>
      <x:c r="I30" s="20" t="n">
        <x:v>315</x:v>
      </x:c>
      <x:c r="J30" t="str">
        <x:v>Punjab</x:v>
      </x:c>
      <x:c r="K30" t="str">
        <x:v>Chashma–Mianwali</x:v>
      </x:c>
      <x:c r="L30" s="22" t="n">
        <x:v>32.43</x:v>
      </x:c>
      <x:c r="M30" s="22" t="n">
        <x:v>71.39</x:v>
      </x:c>
      <x:c r="N30" t="str">
        <x:v>Site vicinity</x:v>
      </x:c>
      <x:c r="O30"/>
      <x:c r="P30" t="str">
        <x:v>NGC</x:v>
      </x:c>
      <x:c r="Q30"/>
      <x:c r="R30" t="str">
        <x:v>C-3</x:v>
      </x:c>
      <x:c r="S30" t="n">
        <x:v>124</x:v>
      </x:c>
      <x:c r="T30" t="str">
        <x:v>Annexure B-1(i)</x:v>
      </x:c>
      <x:c r="U30" t="n">
        <x:v>150</x:v>
      </x:c>
      <x:c r="V30" t="n">
        <x:v>95</x:v>
      </x:c>
      <x:c r="W30" t="str">
        <x:v>Plant coordinates are not provided in the IGCEP; plotted coordinates are indicative.</x:v>
      </x:c>
      <x:c r="X30" s="24" t="n">
        <x:v>90</x:v>
      </x:c>
      <x:c r="Y30" s="24" t="n">
        <x:v>90.23</x:v>
      </x:c>
      <x:c r="Z30" s="24" t="n">
        <x:v>89.97</x:v>
      </x:c>
      <x:c r="AA30" s="24" t="n">
        <x:v>89.89</x:v>
      </x:c>
      <x:c r="AB30" s="24" t="n">
        <x:v>89.82</x:v>
      </x:c>
      <x:c r="AC30" s="24" t="n">
        <x:v>89.85</x:v>
      </x:c>
      <x:c r="AD30" s="24" t="n">
        <x:v>88.9</x:v>
      </x:c>
      <x:c r="AE30" s="24" t="n">
        <x:v>88.08</x:v>
      </x:c>
      <x:c r="AF30" s="24" t="n">
        <x:v>89.1</x:v>
      </x:c>
    </x:row>
    <x:row r="31" ht="18" customHeight="1">
      <x:c r="A31" t="str">
        <x:v>B01-028</x:v>
      </x:c>
      <x:c r="B31" t="str">
        <x:v>CHASHNUPP-IV</x:v>
      </x:c>
      <x:c r="C31" t="str">
        <x:v>Existing (Nov 2024)</x:v>
      </x:c>
      <x:c r="D31" s="26" t="n">
        <x:v>2024</x:v>
      </x:c>
      <x:c r="E31" t="str">
        <x:v>Existing</x:v>
      </x:c>
      <x:c r="F31" t="str">
        <x:v>Nuclear</x:v>
      </x:c>
      <x:c r="G31" t="str">
        <x:v>Nuclear</x:v>
      </x:c>
      <x:c r="H31" s="20" t="n">
        <x:v>340</x:v>
      </x:c>
      <x:c r="I31" s="20" t="n">
        <x:v>315</x:v>
      </x:c>
      <x:c r="J31" t="str">
        <x:v>Punjab</x:v>
      </x:c>
      <x:c r="K31" t="str">
        <x:v>Chashma–Mianwali</x:v>
      </x:c>
      <x:c r="L31" s="22" t="n">
        <x:v>32.43</x:v>
      </x:c>
      <x:c r="M31" s="22" t="n">
        <x:v>71.39</x:v>
      </x:c>
      <x:c r="N31" t="str">
        <x:v>Site vicinity</x:v>
      </x:c>
      <x:c r="O31"/>
      <x:c r="P31" t="str">
        <x:v>NGC</x:v>
      </x:c>
      <x:c r="Q31"/>
      <x:c r="R31" t="str">
        <x:v>C-4</x:v>
      </x:c>
      <x:c r="S31" t="n">
        <x:v>124</x:v>
      </x:c>
      <x:c r="T31" t="str">
        <x:v>Annexure B-1(i)</x:v>
      </x:c>
      <x:c r="U31" t="n">
        <x:v>150</x:v>
      </x:c>
      <x:c r="V31" t="n">
        <x:v>95</x:v>
      </x:c>
      <x:c r="W31" t="str">
        <x:v>Plant coordinates are not provided in the IGCEP; plotted coordinates are indicative.</x:v>
      </x:c>
      <x:c r="X31" s="24" t="n">
        <x:v>90</x:v>
      </x:c>
      <x:c r="Y31" s="24" t="n">
        <x:v>90.23</x:v>
      </x:c>
      <x:c r="Z31" s="24" t="n">
        <x:v>89.97</x:v>
      </x:c>
      <x:c r="AA31" s="24" t="n">
        <x:v>89.91</x:v>
      </x:c>
      <x:c r="AB31" s="24" t="n">
        <x:v>89.82</x:v>
      </x:c>
      <x:c r="AC31" s="24" t="n">
        <x:v>89.85</x:v>
      </x:c>
      <x:c r="AD31" s="24" t="n">
        <x:v>88.9</x:v>
      </x:c>
      <x:c r="AE31" s="24" t="n">
        <x:v>88.08</x:v>
      </x:c>
      <x:c r="AF31" s="24" t="n">
        <x:v>89.14</x:v>
      </x:c>
    </x:row>
    <x:row r="32" ht="18" customHeight="1">
      <x:c r="A32" t="str">
        <x:v>B01-029</x:v>
      </x:c>
      <x:c r="B32" t="str">
        <x:v>K-2</x:v>
      </x:c>
      <x:c r="C32" t="str">
        <x:v>Existing (Nov 2024)</x:v>
      </x:c>
      <x:c r="D32" s="26" t="n">
        <x:v>2024</x:v>
      </x:c>
      <x:c r="E32" t="str">
        <x:v>Existing</x:v>
      </x:c>
      <x:c r="F32" t="str">
        <x:v>Nuclear</x:v>
      </x:c>
      <x:c r="G32" t="str">
        <x:v>Nuclear</x:v>
      </x:c>
      <x:c r="H32" s="20" t="n">
        <x:v>1100</x:v>
      </x:c>
      <x:c r="I32" s="20" t="n">
        <x:v>1030</x:v>
      </x:c>
      <x:c r="J32" t="str">
        <x:v>Sindh</x:v>
      </x:c>
      <x:c r="K32" t="str">
        <x:v>Karachi power complex</x:v>
      </x:c>
      <x:c r="L32" s="22" t="n">
        <x:v>24.82</x:v>
      </x:c>
      <x:c r="M32" s="22" t="n">
        <x:v>67.35</x:v>
      </x:c>
      <x:c r="N32" t="str">
        <x:v>Cluster proxy</x:v>
      </x:c>
      <x:c r="O32"/>
      <x:c r="P32" t="str">
        <x:v>NGC</x:v>
      </x:c>
      <x:c r="Q32"/>
      <x:c r="R32" t="str">
        <x:v>K-2</x:v>
      </x:c>
      <x:c r="S32" t="n">
        <x:v>124</x:v>
      </x:c>
      <x:c r="T32" t="str">
        <x:v>Annexure B-1(i)</x:v>
      </x:c>
      <x:c r="U32" t="n">
        <x:v>150</x:v>
      </x:c>
      <x:c r="V32" t="n">
        <x:v>95</x:v>
      </x:c>
      <x:c r="W32" t="str">
        <x:v>Group marker is a geographical cluster proxy, not the plant’s exact site.</x:v>
      </x:c>
      <x:c r="X32" s="24" t="n">
        <x:v>85.07</x:v>
      </x:c>
      <x:c r="Y32" s="24" t="n">
        <x:v>85.29</x:v>
      </x:c>
      <x:c r="Z32" s="24" t="n">
        <x:v>85.03</x:v>
      </x:c>
      <x:c r="AA32" s="24" t="n">
        <x:v>84.94</x:v>
      </x:c>
      <x:c r="AB32" s="24" t="n">
        <x:v>84.82</x:v>
      </x:c>
      <x:c r="AC32" s="24" t="n">
        <x:v>84.69</x:v>
      </x:c>
      <x:c r="AD32" s="24" t="n">
        <x:v>83.45</x:v>
      </x:c>
      <x:c r="AE32" s="24" t="n">
        <x:v>82.97</x:v>
      </x:c>
      <x:c r="AF32" s="24" t="n">
        <x:v>84.02</x:v>
      </x:c>
    </x:row>
    <x:row r="33" ht="18" customHeight="1">
      <x:c r="A33" t="str">
        <x:v>B01-030</x:v>
      </x:c>
      <x:c r="B33" t="str">
        <x:v>K-3</x:v>
      </x:c>
      <x:c r="C33" t="str">
        <x:v>Existing (Nov 2024)</x:v>
      </x:c>
      <x:c r="D33" s="26" t="n">
        <x:v>2024</x:v>
      </x:c>
      <x:c r="E33" t="str">
        <x:v>Existing</x:v>
      </x:c>
      <x:c r="F33" t="str">
        <x:v>Nuclear</x:v>
      </x:c>
      <x:c r="G33" t="str">
        <x:v>Nuclear</x:v>
      </x:c>
      <x:c r="H33" s="20" t="n">
        <x:v>1100</x:v>
      </x:c>
      <x:c r="I33" s="20" t="n">
        <x:v>1030</x:v>
      </x:c>
      <x:c r="J33" t="str">
        <x:v>Sindh</x:v>
      </x:c>
      <x:c r="K33" t="str">
        <x:v>Karachi power complex</x:v>
      </x:c>
      <x:c r="L33" s="22" t="n">
        <x:v>24.82</x:v>
      </x:c>
      <x:c r="M33" s="22" t="n">
        <x:v>67.35</x:v>
      </x:c>
      <x:c r="N33" t="str">
        <x:v>Cluster proxy</x:v>
      </x:c>
      <x:c r="O33"/>
      <x:c r="P33" t="str">
        <x:v>NGC</x:v>
      </x:c>
      <x:c r="Q33"/>
      <x:c r="R33" t="str">
        <x:v>K-3</x:v>
      </x:c>
      <x:c r="S33" t="n">
        <x:v>124</x:v>
      </x:c>
      <x:c r="T33" t="str">
        <x:v>Annexure B-1(i)</x:v>
      </x:c>
      <x:c r="U33" t="n">
        <x:v>150</x:v>
      </x:c>
      <x:c r="V33" t="n">
        <x:v>95</x:v>
      </x:c>
      <x:c r="W33" t="str">
        <x:v>Group marker is a geographical cluster proxy, not the plant’s exact site.</x:v>
      </x:c>
      <x:c r="X33" s="24" t="n">
        <x:v>85.07</x:v>
      </x:c>
      <x:c r="Y33" s="24" t="n">
        <x:v>85.29</x:v>
      </x:c>
      <x:c r="Z33" s="24" t="n">
        <x:v>85.03</x:v>
      </x:c>
      <x:c r="AA33" s="24" t="n">
        <x:v>84.94</x:v>
      </x:c>
      <x:c r="AB33" s="24" t="n">
        <x:v>84.82</x:v>
      </x:c>
      <x:c r="AC33" s="24" t="n">
        <x:v>84.74</x:v>
      </x:c>
      <x:c r="AD33" s="24" t="n">
        <x:v>83.56</x:v>
      </x:c>
      <x:c r="AE33" s="24" t="n">
        <x:v>83.13</x:v>
      </x:c>
      <x:c r="AF33" s="24" t="n">
        <x:v>84.02</x:v>
      </x:c>
    </x:row>
    <x:row r="34" ht="18" customHeight="1">
      <x:c r="A34" t="str">
        <x:v>B01-031</x:v>
      </x:c>
      <x:c r="B34" t="str">
        <x:v>Jagran - I</x:v>
      </x:c>
      <x:c r="C34" t="str">
        <x:v>Existing (Nov 2024)</x:v>
      </x:c>
      <x:c r="D34" s="26" t="n">
        <x:v>2024</x:v>
      </x:c>
      <x:c r="E34" t="str">
        <x:v>Existing</x:v>
      </x:c>
      <x:c r="F34" t="str">
        <x:v>Hydro</x:v>
      </x:c>
      <x:c r="G34" t="str">
        <x:v>Hydro</x:v>
      </x:c>
      <x:c r="H34" s="20" t="n">
        <x:v>30</x:v>
      </x:c>
      <x:c r="I34" s="20" t="n">
        <x:v>30</x:v>
      </x:c>
      <x:c r="J34" t="str">
        <x:v>Azad Jammu &amp; Kashmir</x:v>
      </x:c>
      <x:c r="K34" t="str">
        <x:v>Jagran–Neelum Valley</x:v>
      </x:c>
      <x:c r="L34" s="22" t="n">
        <x:v>34.74</x:v>
      </x:c>
      <x:c r="M34" s="22" t="n">
        <x:v>74.09</x:v>
      </x:c>
      <x:c r="N34" t="str">
        <x:v>Regional locality</x:v>
      </x:c>
      <x:c r="O34"/>
      <x:c r="P34" t="str">
        <x:v>NGC</x:v>
      </x:c>
      <x:c r="Q34"/>
      <x:c r="R34" t="str">
        <x:v>Jagran-I</x:v>
      </x:c>
      <x:c r="S34" t="n">
        <x:v>124</x:v>
      </x:c>
      <x:c r="T34" t="str">
        <x:v>Annexure B-1(i)</x:v>
      </x:c>
      <x:c r="U34" t="n">
        <x:v>150</x:v>
      </x:c>
      <x:c r="V34" t="n">
        <x:v>95</x:v>
      </x:c>
      <x:c r="W34" t="str">
        <x:v>Plant coordinates are not provided in the IGCEP; plotted coordinates are indicative.</x:v>
      </x:c>
      <x:c r="X34" s="24" t="n">
        <x:v>49.49</x:v>
      </x:c>
      <x:c r="Y34" s="24" t="n">
        <x:v>49.35</x:v>
      </x:c>
      <x:c r="Z34" s="24" t="n">
        <x:v>49.49</x:v>
      </x:c>
      <x:c r="AA34" s="24" t="n">
        <x:v>49.49</x:v>
      </x:c>
      <x:c r="AB34" s="24" t="n">
        <x:v>49.49</x:v>
      </x:c>
      <x:c r="AC34" s="24" t="n">
        <x:v>49.27</x:v>
      </x:c>
      <x:c r="AD34" s="24" t="n">
        <x:v>48.26</x:v>
      </x:c>
      <x:c r="AE34" s="24" t="n">
        <x:v>46.88</x:v>
      </x:c>
      <x:c r="AF34" s="24" t="n">
        <x:v>46.7</x:v>
      </x:c>
    </x:row>
    <x:row r="35" ht="18" customHeight="1">
      <x:c r="A35" t="str">
        <x:v>B01-032</x:v>
      </x:c>
      <x:c r="B35" t="str">
        <x:v>Malakand - III</x:v>
      </x:c>
      <x:c r="C35" t="str">
        <x:v>Existing (Nov 2024)</x:v>
      </x:c>
      <x:c r="D35" s="26" t="n">
        <x:v>2024</x:v>
      </x:c>
      <x:c r="E35" t="str">
        <x:v>Existing</x:v>
      </x:c>
      <x:c r="F35" t="str">
        <x:v>Hydro</x:v>
      </x:c>
      <x:c r="G35" t="str">
        <x:v>Hydro</x:v>
      </x:c>
      <x:c r="H35" s="20" t="n">
        <x:v>81</x:v>
      </x:c>
      <x:c r="I35" s="20" t="n">
        <x:v>81</x:v>
      </x:c>
      <x:c r="J35" t="str">
        <x:v>Khyber Pakhtunkhwa</x:v>
      </x:c>
      <x:c r="K35" t="str">
        <x:v>Malakand</x:v>
      </x:c>
      <x:c r="L35" s="22" t="n">
        <x:v>34.53</x:v>
      </x:c>
      <x:c r="M35" s="22" t="n">
        <x:v>71.88</x:v>
      </x:c>
      <x:c r="N35" t="str">
        <x:v>Site vicinity</x:v>
      </x:c>
      <x:c r="O35"/>
      <x:c r="P35" t="str">
        <x:v>NGC</x:v>
      </x:c>
      <x:c r="Q35"/>
      <x:c r="R35" t="str">
        <x:v>Malakand-III</x:v>
      </x:c>
      <x:c r="S35" t="n">
        <x:v>124</x:v>
      </x:c>
      <x:c r="T35" t="str">
        <x:v>Annexure B-1(i)</x:v>
      </x:c>
      <x:c r="U35" t="n">
        <x:v>150</x:v>
      </x:c>
      <x:c r="V35" t="n">
        <x:v>95</x:v>
      </x:c>
      <x:c r="W35" t="str">
        <x:v>Plant coordinates are not provided in the IGCEP; plotted coordinates are indicative.</x:v>
      </x:c>
      <x:c r="X35" s="24" t="n">
        <x:v>54.04</x:v>
      </x:c>
      <x:c r="Y35" s="24" t="n">
        <x:v>53.89</x:v>
      </x:c>
      <x:c r="Z35" s="24" t="n">
        <x:v>53.89</x:v>
      </x:c>
      <x:c r="AA35" s="24" t="n">
        <x:v>53.89</x:v>
      </x:c>
      <x:c r="AB35" s="24" t="n">
        <x:v>52.88</x:v>
      </x:c>
      <x:c r="AC35" s="24" t="n">
        <x:v>49.96</x:v>
      </x:c>
      <x:c r="AD35" s="24" t="n">
        <x:v>45.07</x:v>
      </x:c>
      <x:c r="AE35" s="24" t="n">
        <x:v>44.54</x:v>
      </x:c>
      <x:c r="AF35" s="24" t="n">
        <x:v>45.43</x:v>
      </x:c>
    </x:row>
    <x:row r="36" ht="18" customHeight="1">
      <x:c r="A36" t="str">
        <x:v>B01-033</x:v>
      </x:c>
      <x:c r="B36" t="str">
        <x:v>New Bong</x:v>
      </x:c>
      <x:c r="C36" t="str">
        <x:v>Existing (Nov 2024)</x:v>
      </x:c>
      <x:c r="D36" s="26" t="n">
        <x:v>2024</x:v>
      </x:c>
      <x:c r="E36" t="str">
        <x:v>Existing</x:v>
      </x:c>
      <x:c r="F36" t="str">
        <x:v>Hydro</x:v>
      </x:c>
      <x:c r="G36" t="str">
        <x:v>Hydro</x:v>
      </x:c>
      <x:c r="H36" s="20" t="n">
        <x:v>84</x:v>
      </x:c>
      <x:c r="I36" s="20" t="n">
        <x:v>84</x:v>
      </x:c>
      <x:c r="J36" t="str">
        <x:v>Azad Jammu &amp; Kashmir</x:v>
      </x:c>
      <x:c r="K36" t="str">
        <x:v>Mangla–Mirpur</x:v>
      </x:c>
      <x:c r="L36" s="22" t="n">
        <x:v>33.12</x:v>
      </x:c>
      <x:c r="M36" s="22" t="n">
        <x:v>73.65</x:v>
      </x:c>
      <x:c r="N36" t="str">
        <x:v>Site vicinity</x:v>
      </x:c>
      <x:c r="O36"/>
      <x:c r="P36" t="str">
        <x:v>NGC</x:v>
      </x:c>
      <x:c r="Q36"/>
      <x:c r="R36" t="str">
        <x:v>New Bong</x:v>
      </x:c>
      <x:c r="S36" t="n">
        <x:v>124</x:v>
      </x:c>
      <x:c r="T36" t="str">
        <x:v>Annexure B-1(i)</x:v>
      </x:c>
      <x:c r="U36" t="n">
        <x:v>150</x:v>
      </x:c>
      <x:c r="V36" t="n">
        <x:v>95</x:v>
      </x:c>
      <x:c r="W36" t="str">
        <x:v>Plant coordinates are not provided in the IGCEP; plotted coordinates are indicative.</x:v>
      </x:c>
      <x:c r="X36" s="24" t="n">
        <x:v>55.49</x:v>
      </x:c>
      <x:c r="Y36" s="24" t="n">
        <x:v>55.34</x:v>
      </x:c>
      <x:c r="Z36" s="24" t="n">
        <x:v>55.49</x:v>
      </x:c>
      <x:c r="AA36" s="24" t="n">
        <x:v>55.49</x:v>
      </x:c>
      <x:c r="AB36" s="24" t="n">
        <x:v>55.49</x:v>
      </x:c>
      <x:c r="AC36" s="24" t="n">
        <x:v>55.34</x:v>
      </x:c>
      <x:c r="AD36" s="24" t="n">
        <x:v>55.49</x:v>
      </x:c>
      <x:c r="AE36" s="24" t="n">
        <x:v>55.49</x:v>
      </x:c>
      <x:c r="AF36" s="24" t="n">
        <x:v>55.49</x:v>
      </x:c>
    </x:row>
    <x:row r="37" ht="18" customHeight="1">
      <x:c r="A37" t="str">
        <x:v>B01-034</x:v>
      </x:c>
      <x:c r="B37" t="str">
        <x:v>Daral Khwar</x:v>
      </x:c>
      <x:c r="C37" t="str">
        <x:v>Existing (Nov 2024)</x:v>
      </x:c>
      <x:c r="D37" s="26" t="n">
        <x:v>2024</x:v>
      </x:c>
      <x:c r="E37" t="str">
        <x:v>Existing</x:v>
      </x:c>
      <x:c r="F37" t="str">
        <x:v>Hydro</x:v>
      </x:c>
      <x:c r="G37" t="str">
        <x:v>Hydro</x:v>
      </x:c>
      <x:c r="H37" s="20" t="n">
        <x:v>37</x:v>
      </x:c>
      <x:c r="I37" s="20" t="n">
        <x:v>37</x:v>
      </x:c>
      <x:c r="J37" t="str">
        <x:v>Khyber Pakhtunkhwa</x:v>
      </x:c>
      <x:c r="K37" t="str">
        <x:v>Daral Khwar–Swat</x:v>
      </x:c>
      <x:c r="L37" s="22" t="n">
        <x:v>35.1</x:v>
      </x:c>
      <x:c r="M37" s="22" t="n">
        <x:v>72.5</x:v>
      </x:c>
      <x:c r="N37" t="str">
        <x:v>Regional locality</x:v>
      </x:c>
      <x:c r="O37"/>
      <x:c r="P37" t="str">
        <x:v>NGC</x:v>
      </x:c>
      <x:c r="Q37"/>
      <x:c r="R37" t="str">
        <x:v>Daral Khwar</x:v>
      </x:c>
      <x:c r="S37" t="n">
        <x:v>123</x:v>
      </x:c>
      <x:c r="T37" t="str">
        <x:v>Annexure B-1(i)</x:v>
      </x:c>
      <x:c r="U37" t="n">
        <x:v>150</x:v>
      </x:c>
      <x:c r="V37" t="n">
        <x:v>95</x:v>
      </x:c>
      <x:c r="W37" t="str">
        <x:v>Plant coordinates are not provided in the IGCEP; plotted coordinates are indicative.</x:v>
      </x:c>
      <x:c r="X37" s="24" t="n">
        <x:v>38.77</x:v>
      </x:c>
      <x:c r="Y37" s="24" t="n">
        <x:v>38.66</x:v>
      </x:c>
      <x:c r="Z37" s="24" t="n">
        <x:v>38.76</x:v>
      </x:c>
      <x:c r="AA37" s="24" t="n">
        <x:v>38.76</x:v>
      </x:c>
      <x:c r="AB37" s="24" t="n">
        <x:v>38.76</x:v>
      </x:c>
      <x:c r="AC37" s="24" t="n">
        <x:v>38.66</x:v>
      </x:c>
      <x:c r="AD37" s="24" t="n">
        <x:v>38.76</x:v>
      </x:c>
      <x:c r="AE37" s="24" t="n">
        <x:v>38.76</x:v>
      </x:c>
      <x:c r="AF37" s="24" t="n">
        <x:v>38.76</x:v>
      </x:c>
    </x:row>
    <x:row r="38" ht="18" customHeight="1">
      <x:c r="A38" t="str">
        <x:v>B01-035</x:v>
      </x:c>
      <x:c r="B38" t="str">
        <x:v>Gul Pur</x:v>
      </x:c>
      <x:c r="C38" t="str">
        <x:v>Existing (Nov 2024)</x:v>
      </x:c>
      <x:c r="D38" s="26" t="n">
        <x:v>2024</x:v>
      </x:c>
      <x:c r="E38" t="str">
        <x:v>Existing</x:v>
      </x:c>
      <x:c r="F38" t="str">
        <x:v>Hydro</x:v>
      </x:c>
      <x:c r="G38" t="str">
        <x:v>Hydro</x:v>
      </x:c>
      <x:c r="H38" s="20" t="n">
        <x:v>103</x:v>
      </x:c>
      <x:c r="I38" s="20" t="n">
        <x:v>103</x:v>
      </x:c>
      <x:c r="J38" t="str">
        <x:v>Azad Jammu &amp; Kashmir</x:v>
      </x:c>
      <x:c r="K38" t="str">
        <x:v>Gulpur–Kotli</x:v>
      </x:c>
      <x:c r="L38" s="22" t="n">
        <x:v>33.37</x:v>
      </x:c>
      <x:c r="M38" s="22" t="n">
        <x:v>73.94</x:v>
      </x:c>
      <x:c r="N38" t="str">
        <x:v>Regional locality</x:v>
      </x:c>
      <x:c r="O38"/>
      <x:c r="P38" t="str">
        <x:v>NGC</x:v>
      </x:c>
      <x:c r="Q38"/>
      <x:c r="R38" t="str">
        <x:v>Gulpur</x:v>
      </x:c>
      <x:c r="S38" t="n">
        <x:v>123</x:v>
      </x:c>
      <x:c r="T38" t="str">
        <x:v>Annexure B-1(i)</x:v>
      </x:c>
      <x:c r="U38" t="n">
        <x:v>150</x:v>
      </x:c>
      <x:c r="V38" t="n">
        <x:v>95</x:v>
      </x:c>
      <x:c r="W38" t="str">
        <x:v>Plant coordinates are not provided in the IGCEP; plotted coordinates are indicative.</x:v>
      </x:c>
      <x:c r="X38" s="24" t="n">
        <x:v>28.92</x:v>
      </x:c>
      <x:c r="Y38" s="24" t="n">
        <x:v>28.84</x:v>
      </x:c>
      <x:c r="Z38" s="24" t="n">
        <x:v>28.92</x:v>
      </x:c>
      <x:c r="AA38" s="24" t="n">
        <x:v>28.92</x:v>
      </x:c>
      <x:c r="AB38" s="24" t="n">
        <x:v>28.92</x:v>
      </x:c>
      <x:c r="AC38" s="24" t="n">
        <x:v>28.84</x:v>
      </x:c>
      <x:c r="AD38" s="24" t="n">
        <x:v>28.92</x:v>
      </x:c>
      <x:c r="AE38" s="24" t="n">
        <x:v>28.92</x:v>
      </x:c>
      <x:c r="AF38" s="24" t="n">
        <x:v>28.92</x:v>
      </x:c>
    </x:row>
    <x:row r="39" ht="18" customHeight="1">
      <x:c r="A39" t="str">
        <x:v>B01-036</x:v>
      </x:c>
      <x:c r="B39" t="str">
        <x:v>Patrind</x:v>
      </x:c>
      <x:c r="C39" t="str">
        <x:v>Existing (Nov 2024)</x:v>
      </x:c>
      <x:c r="D39" s="26" t="n">
        <x:v>2024</x:v>
      </x:c>
      <x:c r="E39" t="str">
        <x:v>Existing</x:v>
      </x:c>
      <x:c r="F39" t="str">
        <x:v>Hydro</x:v>
      </x:c>
      <x:c r="G39" t="str">
        <x:v>Hydro</x:v>
      </x:c>
      <x:c r="H39" s="20" t="n">
        <x:v>150</x:v>
      </x:c>
      <x:c r="I39" s="20" t="n">
        <x:v>149</x:v>
      </x:c>
      <x:c r="J39" t="str">
        <x:v>Azad Jammu &amp; Kashmir</x:v>
      </x:c>
      <x:c r="K39" t="str">
        <x:v>Patrind–Muzaffarabad</x:v>
      </x:c>
      <x:c r="L39" s="22" t="n">
        <x:v>34.4</x:v>
      </x:c>
      <x:c r="M39" s="22" t="n">
        <x:v>73.45</x:v>
      </x:c>
      <x:c r="N39" t="str">
        <x:v>Site vicinity</x:v>
      </x:c>
      <x:c r="O39"/>
      <x:c r="P39" t="str">
        <x:v>NGC</x:v>
      </x:c>
      <x:c r="Q39"/>
      <x:c r="R39" t="str">
        <x:v>Patrind</x:v>
      </x:c>
      <x:c r="S39" t="n">
        <x:v>124</x:v>
      </x:c>
      <x:c r="T39" t="str">
        <x:v>Annexure B-1(i)</x:v>
      </x:c>
      <x:c r="U39" t="n">
        <x:v>150</x:v>
      </x:c>
      <x:c r="V39" t="n">
        <x:v>95</x:v>
      </x:c>
      <x:c r="W39" t="str">
        <x:v>Plant coordinates are not provided in the IGCEP; plotted coordinates are indicative.</x:v>
      </x:c>
      <x:c r="X39" s="24" t="n">
        <x:v>43.76</x:v>
      </x:c>
      <x:c r="Y39" s="24" t="n">
        <x:v>43.64</x:v>
      </x:c>
      <x:c r="Z39" s="24" t="n">
        <x:v>43.76</x:v>
      </x:c>
      <x:c r="AA39" s="24" t="n">
        <x:v>43.76</x:v>
      </x:c>
      <x:c r="AB39" s="24" t="n">
        <x:v>43.76</x:v>
      </x:c>
      <x:c r="AC39" s="24" t="n">
        <x:v>43.64</x:v>
      </x:c>
      <x:c r="AD39" s="24" t="n">
        <x:v>43.76</x:v>
      </x:c>
      <x:c r="AE39" s="24" t="n">
        <x:v>43.76</x:v>
      </x:c>
      <x:c r="AF39" s="24" t="n">
        <x:v>43.76</x:v>
      </x:c>
    </x:row>
    <x:row r="40" ht="18" customHeight="1">
      <x:c r="A40" t="str">
        <x:v>B01-037</x:v>
      </x:c>
      <x:c r="B40" t="str">
        <x:v>Ranolia</x:v>
      </x:c>
      <x:c r="C40" t="str">
        <x:v>Existing (Nov 2024)</x:v>
      </x:c>
      <x:c r="D40" s="26" t="n">
        <x:v>2024</x:v>
      </x:c>
      <x:c r="E40" t="str">
        <x:v>Existing</x:v>
      </x:c>
      <x:c r="F40" t="str">
        <x:v>Hydro</x:v>
      </x:c>
      <x:c r="G40" t="str">
        <x:v>Hydro</x:v>
      </x:c>
      <x:c r="H40" s="20" t="n">
        <x:v>18</x:v>
      </x:c>
      <x:c r="I40" s="20" t="n">
        <x:v>17</x:v>
      </x:c>
      <x:c r="J40" t="str">
        <x:v>Khyber Pakhtunkhwa</x:v>
      </x:c>
      <x:c r="K40" t="str">
        <x:v>Ranolia–Kohistan</x:v>
      </x:c>
      <x:c r="L40" s="22" t="n">
        <x:v>35.02</x:v>
      </x:c>
      <x:c r="M40" s="22" t="n">
        <x:v>73.06</x:v>
      </x:c>
      <x:c r="N40" t="str">
        <x:v>Regional locality</x:v>
      </x:c>
      <x:c r="O40"/>
      <x:c r="P40" t="str">
        <x:v>NGC</x:v>
      </x:c>
      <x:c r="Q40"/>
      <x:c r="R40"/>
      <x:c r="S40"/>
      <x:c r="T40" t="str">
        <x:v>Annexure B-1(i)</x:v>
      </x:c>
      <x:c r="U40" t="n">
        <x:v>150</x:v>
      </x:c>
      <x:c r="V40" t="n">
        <x:v>95</x:v>
      </x:c>
      <x:c r="W40" t="str">
        <x:v>Plant coordinates are not provided in the IGCEP; plotted coordinates are indicative.</x:v>
      </x:c>
      <x:c r="X40" s="24"/>
      <x:c r="Y40" s="24"/>
      <x:c r="Z40" s="24"/>
      <x:c r="AA40" s="24"/>
      <x:c r="AB40" s="24"/>
      <x:c r="AC40" s="24"/>
      <x:c r="AD40" s="24"/>
      <x:c r="AE40" s="24"/>
      <x:c r="AF40" s="24"/>
    </x:row>
    <x:row r="41" ht="18" customHeight="1">
      <x:c r="A41" t="str">
        <x:v>B01-038</x:v>
      </x:c>
      <x:c r="B41" t="str">
        <x:v>Suki Kinari</x:v>
      </x:c>
      <x:c r="C41" t="str">
        <x:v>Existing (Nov 2024)</x:v>
      </x:c>
      <x:c r="D41" s="26" t="n">
        <x:v>2024</x:v>
      </x:c>
      <x:c r="E41" t="str">
        <x:v>Existing</x:v>
      </x:c>
      <x:c r="F41" t="str">
        <x:v>Hydro</x:v>
      </x:c>
      <x:c r="G41" t="str">
        <x:v>Hydro</x:v>
      </x:c>
      <x:c r="H41" s="20" t="n">
        <x:v>884</x:v>
      </x:c>
      <x:c r="I41" s="20" t="n">
        <x:v>883</x:v>
      </x:c>
      <x:c r="J41" t="str">
        <x:v>Khyber Pakhtunkhwa</x:v>
      </x:c>
      <x:c r="K41" t="str">
        <x:v>Suki Kinari–Kaghan</x:v>
      </x:c>
      <x:c r="L41" s="22" t="n">
        <x:v>34.68</x:v>
      </x:c>
      <x:c r="M41" s="22" t="n">
        <x:v>73.43</x:v>
      </x:c>
      <x:c r="N41" t="str">
        <x:v>Site vicinity</x:v>
      </x:c>
      <x:c r="O41"/>
      <x:c r="P41" t="str">
        <x:v>NGC</x:v>
      </x:c>
      <x:c r="Q41"/>
      <x:c r="R41" t="str">
        <x:v>Suki Kinari</x:v>
      </x:c>
      <x:c r="S41" t="n">
        <x:v>124</x:v>
      </x:c>
      <x:c r="T41" t="str">
        <x:v>Annexure B-1(i)</x:v>
      </x:c>
      <x:c r="U41" t="n">
        <x:v>150</x:v>
      </x:c>
      <x:c r="V41" t="n">
        <x:v>95</x:v>
      </x:c>
      <x:c r="W41" t="str">
        <x:v>Plant coordinates are not provided in the IGCEP; plotted coordinates are indicative.</x:v>
      </x:c>
      <x:c r="X41" s="24" t="n">
        <x:v>51.17</x:v>
      </x:c>
      <x:c r="Y41" s="24" t="n">
        <x:v>51.03</x:v>
      </x:c>
      <x:c r="Z41" s="24" t="n">
        <x:v>51.17</x:v>
      </x:c>
      <x:c r="AA41" s="24" t="n">
        <x:v>51.04</x:v>
      </x:c>
      <x:c r="AB41" s="24" t="n">
        <x:v>51.03</x:v>
      </x:c>
      <x:c r="AC41" s="24" t="n">
        <x:v>50.9</x:v>
      </x:c>
      <x:c r="AD41" s="24" t="n">
        <x:v>51.03</x:v>
      </x:c>
      <x:c r="AE41" s="24" t="n">
        <x:v>51.03</x:v>
      </x:c>
      <x:c r="AF41" s="24" t="n">
        <x:v>51.06</x:v>
      </x:c>
    </x:row>
    <x:row r="42" ht="18" customHeight="1">
      <x:c r="A42" t="str">
        <x:v>B01-039</x:v>
      </x:c>
      <x:c r="B42" t="str">
        <x:v>Karot</x:v>
      </x:c>
      <x:c r="C42" t="str">
        <x:v>Existing (Nov 2024)</x:v>
      </x:c>
      <x:c r="D42" s="26" t="n">
        <x:v>2024</x:v>
      </x:c>
      <x:c r="E42" t="str">
        <x:v>Existing</x:v>
      </x:c>
      <x:c r="F42" t="str">
        <x:v>Hydro</x:v>
      </x:c>
      <x:c r="G42" t="str">
        <x:v>Hydro</x:v>
      </x:c>
      <x:c r="H42" s="20" t="n">
        <x:v>720</x:v>
      </x:c>
      <x:c r="I42" s="20" t="n">
        <x:v>713</x:v>
      </x:c>
      <x:c r="J42" t="str">
        <x:v>Azad Jammu &amp; Kashmir</x:v>
      </x:c>
      <x:c r="K42" t="str">
        <x:v>Karot–Jhelum River</x:v>
      </x:c>
      <x:c r="L42" s="22" t="n">
        <x:v>33.6</x:v>
      </x:c>
      <x:c r="M42" s="22" t="n">
        <x:v>73.69</x:v>
      </x:c>
      <x:c r="N42" t="str">
        <x:v>Site vicinity</x:v>
      </x:c>
      <x:c r="O42"/>
      <x:c r="P42" t="str">
        <x:v>NGC</x:v>
      </x:c>
      <x:c r="Q42"/>
      <x:c r="R42" t="str">
        <x:v>Karot</x:v>
      </x:c>
      <x:c r="S42" t="n">
        <x:v>124</x:v>
      </x:c>
      <x:c r="T42" t="str">
        <x:v>Annexure B-1(i)</x:v>
      </x:c>
      <x:c r="U42" t="n">
        <x:v>150</x:v>
      </x:c>
      <x:c r="V42" t="n">
        <x:v>95</x:v>
      </x:c>
      <x:c r="W42" t="str">
        <x:v>Plant coordinates are not provided in the IGCEP; plotted coordinates are indicative.</x:v>
      </x:c>
      <x:c r="X42" s="24" t="n">
        <x:v>45.37</x:v>
      </x:c>
      <x:c r="Y42" s="24" t="n">
        <x:v>45.36</x:v>
      </x:c>
      <x:c r="Z42" s="24" t="n">
        <x:v>45.48</x:v>
      </x:c>
      <x:c r="AA42" s="24" t="n">
        <x:v>45.46</x:v>
      </x:c>
      <x:c r="AB42" s="24" t="n">
        <x:v>45.41</x:v>
      </x:c>
      <x:c r="AC42" s="24" t="n">
        <x:v>45.25</x:v>
      </x:c>
      <x:c r="AD42" s="24" t="n">
        <x:v>45.37</x:v>
      </x:c>
      <x:c r="AE42" s="24" t="n">
        <x:v>45.35</x:v>
      </x:c>
      <x:c r="AF42" s="24" t="n">
        <x:v>45.37</x:v>
      </x:c>
    </x:row>
    <x:row r="43" ht="18" customHeight="1">
      <x:c r="A43" t="str">
        <x:v>B01-040</x:v>
      </x:c>
      <x:c r="B43" t="str">
        <x:v>AGL</x:v>
      </x:c>
      <x:c r="C43" t="str">
        <x:v>Existing (Nov 2024)</x:v>
      </x:c>
      <x:c r="D43" s="26" t="n">
        <x:v>2024</x:v>
      </x:c>
      <x:c r="E43" t="str">
        <x:v>Existing</x:v>
      </x:c>
      <x:c r="F43" t="str">
        <x:v>RFO</x:v>
      </x:c>
      <x:c r="G43" t="str">
        <x:v>RFO</x:v>
      </x:c>
      <x:c r="H43" s="20" t="n">
        <x:v>165</x:v>
      </x:c>
      <x:c r="I43" s="20" t="n">
        <x:v>156</x:v>
      </x:c>
      <x:c r="J43" t="str">
        <x:v>Punjab</x:v>
      </x:c>
      <x:c r="K43"/>
      <x:c r="L43" s="22"/>
      <x:c r="M43" s="22"/>
      <x:c r="N43" t="str">
        <x:v>Not located in IGCEP</x:v>
      </x:c>
      <x:c r="O43"/>
      <x:c r="P43" t="str">
        <x:v>NGC</x:v>
      </x:c>
      <x:c r="Q43" t="n">
        <x:v>2034</x:v>
      </x:c>
      <x:c r="R43" t="str">
        <x:v>AGL</x:v>
      </x:c>
      <x:c r="S43" t="n">
        <x:v>124</x:v>
      </x:c>
      <x:c r="T43" t="str">
        <x:v>Annexure B-1(i)</x:v>
      </x:c>
      <x:c r="U43" t="n">
        <x:v>150</x:v>
      </x:c>
      <x:c r="V43" t="n">
        <x:v>95</x:v>
      </x:c>
      <x:c r="W43" t="str">
        <x:v>Region inferred from project/agency context; site not geocoded.</x:v>
      </x:c>
      <x:c r="X43" s="24" t="n">
        <x:v>14.23</x:v>
      </x:c>
      <x:c r="Y43" s="24" t="n">
        <x:v>14.23</x:v>
      </x:c>
      <x:c r="Z43" s="24" t="n">
        <x:v>0</x:v>
      </x:c>
      <x:c r="AA43" s="24" t="n">
        <x:v>0</x:v>
      </x:c>
      <x:c r="AB43" s="24" t="n">
        <x:v>0</x:v>
      </x:c>
      <x:c r="AC43" s="24" t="n">
        <x:v>0</x:v>
      </x:c>
      <x:c r="AD43" s="24" t="n">
        <x:v>0</x:v>
      </x:c>
      <x:c r="AE43" s="24" t="n">
        <x:v>0</x:v>
      </x:c>
      <x:c r="AF43" s="24" t="n">
        <x:v>0</x:v>
      </x:c>
    </x:row>
    <x:row r="44" ht="18" customHeight="1">
      <x:c r="A44" t="str">
        <x:v>B01-041</x:v>
      </x:c>
      <x:c r="B44" t="str">
        <x:v>Balloki</x:v>
      </x:c>
      <x:c r="C44" t="str">
        <x:v>Existing (Nov 2024)</x:v>
      </x:c>
      <x:c r="D44" s="26" t="n">
        <x:v>2024</x:v>
      </x:c>
      <x:c r="E44" t="str">
        <x:v>Existing</x:v>
      </x:c>
      <x:c r="F44" t="str">
        <x:v>RLNG</x:v>
      </x:c>
      <x:c r="G44" t="str">
        <x:v>RLNG</x:v>
      </x:c>
      <x:c r="H44" s="20" t="n">
        <x:v>1223</x:v>
      </x:c>
      <x:c r="I44" s="20" t="n">
        <x:v>1157</x:v>
      </x:c>
      <x:c r="J44" t="str">
        <x:v>Punjab</x:v>
      </x:c>
      <x:c r="K44" t="str">
        <x:v>Balloki–Kasur</x:v>
      </x:c>
      <x:c r="L44" s="22" t="n">
        <x:v>31.21</x:v>
      </x:c>
      <x:c r="M44" s="22" t="n">
        <x:v>73.86</x:v>
      </x:c>
      <x:c r="N44" t="str">
        <x:v>Site vicinity</x:v>
      </x:c>
      <x:c r="O44"/>
      <x:c r="P44" t="str">
        <x:v>NGC</x:v>
      </x:c>
      <x:c r="Q44"/>
      <x:c r="R44" t="str">
        <x:v>Balloki</x:v>
      </x:c>
      <x:c r="S44" t="n">
        <x:v>125</x:v>
      </x:c>
      <x:c r="T44" t="str">
        <x:v>Annexure B-1(i)</x:v>
      </x:c>
      <x:c r="U44" t="n">
        <x:v>150</x:v>
      </x:c>
      <x:c r="V44" t="n">
        <x:v>95</x:v>
      </x:c>
      <x:c r="W44" t="str">
        <x:v>Plant coordinates are not provided in the IGCEP; plotted coordinates are indicative.</x:v>
      </x:c>
      <x:c r="X44" s="24" t="n">
        <x:v>38.75</x:v>
      </x:c>
      <x:c r="Y44" s="24" t="n">
        <x:v>33.92</x:v>
      </x:c>
      <x:c r="Z44" s="24" t="n">
        <x:v>43.95</x:v>
      </x:c>
      <x:c r="AA44" s="24" t="n">
        <x:v>45.66</x:v>
      </x:c>
      <x:c r="AB44" s="24" t="n">
        <x:v>42.12</x:v>
      </x:c>
      <x:c r="AC44" s="24" t="n">
        <x:v>41.7</x:v>
      </x:c>
      <x:c r="AD44" s="24" t="n">
        <x:v>0.3</x:v>
      </x:c>
      <x:c r="AE44" s="24" t="n">
        <x:v>0.14</x:v>
      </x:c>
      <x:c r="AF44" s="24" t="n">
        <x:v>0</x:v>
      </x:c>
    </x:row>
    <x:row r="45" ht="18" customHeight="1">
      <x:c r="A45" t="str">
        <x:v>B01-042</x:v>
      </x:c>
      <x:c r="B45" t="str">
        <x:v>Bhikki</x:v>
      </x:c>
      <x:c r="C45" t="str">
        <x:v>Existing (Nov 2024)</x:v>
      </x:c>
      <x:c r="D45" s="26" t="n">
        <x:v>2024</x:v>
      </x:c>
      <x:c r="E45" t="str">
        <x:v>Existing</x:v>
      </x:c>
      <x:c r="F45" t="str">
        <x:v>RLNG</x:v>
      </x:c>
      <x:c r="G45" t="str">
        <x:v>RLNG</x:v>
      </x:c>
      <x:c r="H45" s="20" t="n">
        <x:v>1186</x:v>
      </x:c>
      <x:c r="I45" s="20" t="n">
        <x:v>1130</x:v>
      </x:c>
      <x:c r="J45" t="str">
        <x:v>Punjab</x:v>
      </x:c>
      <x:c r="K45" t="str">
        <x:v>Bhikki–Sheikhupura</x:v>
      </x:c>
      <x:c r="L45" s="22" t="n">
        <x:v>31.74</x:v>
      </x:c>
      <x:c r="M45" s="22" t="n">
        <x:v>73.96</x:v>
      </x:c>
      <x:c r="N45" t="str">
        <x:v>Site vicinity</x:v>
      </x:c>
      <x:c r="O45"/>
      <x:c r="P45" t="str">
        <x:v>NGC</x:v>
      </x:c>
      <x:c r="Q45"/>
      <x:c r="R45" t="str">
        <x:v>Bhikki</x:v>
      </x:c>
      <x:c r="S45" t="n">
        <x:v>125</x:v>
      </x:c>
      <x:c r="T45" t="str">
        <x:v>Annexure B-1(i)</x:v>
      </x:c>
      <x:c r="U45" t="n">
        <x:v>150</x:v>
      </x:c>
      <x:c r="V45" t="n">
        <x:v>95</x:v>
      </x:c>
      <x:c r="W45" t="str">
        <x:v>Plant coordinates are not provided in the IGCEP; plotted coordinates are indicative.</x:v>
      </x:c>
      <x:c r="X45" s="24" t="n">
        <x:v>14.3</x:v>
      </x:c>
      <x:c r="Y45" s="24" t="n">
        <x:v>20.62</x:v>
      </x:c>
      <x:c r="Z45" s="24" t="n">
        <x:v>21.68</x:v>
      </x:c>
      <x:c r="AA45" s="24" t="n">
        <x:v>16.85</x:v>
      </x:c>
      <x:c r="AB45" s="24" t="n">
        <x:v>20.11</x:v>
      </x:c>
      <x:c r="AC45" s="24" t="n">
        <x:v>21.42</x:v>
      </x:c>
      <x:c r="AD45" s="24" t="n">
        <x:v>0</x:v>
      </x:c>
      <x:c r="AE45" s="24" t="n">
        <x:v>0</x:v>
      </x:c>
      <x:c r="AF45" s="24" t="n">
        <x:v>0</x:v>
      </x:c>
    </x:row>
    <x:row r="46" ht="18" customHeight="1">
      <x:c r="A46" t="str">
        <x:v>B01-043</x:v>
      </x:c>
      <x:c r="B46" t="str">
        <x:v>China HUBCO</x:v>
      </x:c>
      <x:c r="C46" t="str">
        <x:v>Existing (Nov 2024)</x:v>
      </x:c>
      <x:c r="D46" s="26" t="n">
        <x:v>2024</x:v>
      </x:c>
      <x:c r="E46" t="str">
        <x:v>Existing</x:v>
      </x:c>
      <x:c r="F46" t="str">
        <x:v>Coal - Imported</x:v>
      </x:c>
      <x:c r="G46" t="str">
        <x:v>Imp. Coal</x:v>
      </x:c>
      <x:c r="H46" s="20" t="n">
        <x:v>1320</x:v>
      </x:c>
      <x:c r="I46" s="20" t="n">
        <x:v>1249</x:v>
      </x:c>
      <x:c r="J46" t="str">
        <x:v>Balochistan</x:v>
      </x:c>
      <x:c r="K46" t="str">
        <x:v>Hub coastal power complex</x:v>
      </x:c>
      <x:c r="L46" s="22" t="n">
        <x:v>25.14</x:v>
      </x:c>
      <x:c r="M46" s="22" t="n">
        <x:v>66.74</x:v>
      </x:c>
      <x:c r="N46" t="str">
        <x:v>Site vicinity</x:v>
      </x:c>
      <x:c r="O46"/>
      <x:c r="P46" t="str">
        <x:v>NGC</x:v>
      </x:c>
      <x:c r="Q46"/>
      <x:c r="R46" t="str">
        <x:v>China HUBCO</x:v>
      </x:c>
      <x:c r="S46" t="n">
        <x:v>125</x:v>
      </x:c>
      <x:c r="T46" t="str">
        <x:v>Annexure B-1(i)</x:v>
      </x:c>
      <x:c r="U46" t="n">
        <x:v>150</x:v>
      </x:c>
      <x:c r="V46" t="n">
        <x:v>95</x:v>
      </x:c>
      <x:c r="W46" t="str">
        <x:v>Plant coordinates are not provided in the IGCEP; plotted coordinates are indicative.</x:v>
      </x:c>
      <x:c r="X46" s="24" t="n">
        <x:v>46.69</x:v>
      </x:c>
      <x:c r="Y46" s="24" t="n">
        <x:v>0.61</x:v>
      </x:c>
      <x:c r="Z46" s="24" t="n">
        <x:v>0.43</x:v>
      </x:c>
      <x:c r="AA46" s="24" t="n">
        <x:v>0.86</x:v>
      </x:c>
      <x:c r="AB46" s="24" t="n">
        <x:v>2.91</x:v>
      </x:c>
      <x:c r="AC46" s="24" t="n">
        <x:v>3.31</x:v>
      </x:c>
      <x:c r="AD46" s="24" t="n">
        <x:v>18.05</x:v>
      </x:c>
      <x:c r="AE46" s="24" t="n">
        <x:v>16.86</x:v>
      </x:c>
      <x:c r="AF46" s="24" t="n">
        <x:v>15.78</x:v>
      </x:c>
    </x:row>
    <x:row r="47" ht="18" customHeight="1">
      <x:c r="A47" t="str">
        <x:v>B01-044</x:v>
      </x:c>
      <x:c r="B47" t="str">
        <x:v>Engro</x:v>
      </x:c>
      <x:c r="C47" t="str">
        <x:v>Existing (Nov 2024)</x:v>
      </x:c>
      <x:c r="D47" s="26" t="n">
        <x:v>2024</x:v>
      </x:c>
      <x:c r="E47" t="str">
        <x:v>Existing</x:v>
      </x:c>
      <x:c r="F47" t="str">
        <x:v>Gas</x:v>
      </x:c>
      <x:c r="G47" t="str">
        <x:v>Gas</x:v>
      </x:c>
      <x:c r="H47" s="20" t="n">
        <x:v>217</x:v>
      </x:c>
      <x:c r="I47" s="20" t="n">
        <x:v>215</x:v>
      </x:c>
      <x:c r="J47" t="str">
        <x:v>Sindh</x:v>
      </x:c>
      <x:c r="K47" t="str">
        <x:v>Ghotki–Daharki gas corridor</x:v>
      </x:c>
      <x:c r="L47" s="22" t="n">
        <x:v>28.02</x:v>
      </x:c>
      <x:c r="M47" s="22" t="n">
        <x:v>69.54</x:v>
      </x:c>
      <x:c r="N47" t="str">
        <x:v>Cluster proxy</x:v>
      </x:c>
      <x:c r="O47"/>
      <x:c r="P47" t="str">
        <x:v>NGC</x:v>
      </x:c>
      <x:c r="Q47" t="n">
        <x:v>2035</x:v>
      </x:c>
      <x:c r="R47"/>
      <x:c r="S47"/>
      <x:c r="T47" t="str">
        <x:v>Annexure B-1(i)</x:v>
      </x:c>
      <x:c r="U47" t="n">
        <x:v>150</x:v>
      </x:c>
      <x:c r="V47" t="n">
        <x:v>95</x:v>
      </x:c>
      <x:c r="W47" t="str">
        <x:v>Group marker is a geographical cluster proxy, not the plant’s exact site.</x:v>
      </x:c>
      <x:c r="X47" s="24"/>
      <x:c r="Y47" s="24"/>
      <x:c r="Z47" s="24"/>
      <x:c r="AA47" s="24"/>
      <x:c r="AB47" s="24"/>
      <x:c r="AC47" s="24"/>
      <x:c r="AD47" s="24"/>
      <x:c r="AE47" s="24"/>
      <x:c r="AF47" s="24"/>
    </x:row>
    <x:row r="48" ht="18" customHeight="1">
      <x:c r="A48" t="str">
        <x:v>B01-045</x:v>
      </x:c>
      <x:c r="B48" t="str">
        <x:v>Engro Thar</x:v>
      </x:c>
      <x:c r="C48" t="str">
        <x:v>Existing (Nov 2024)</x:v>
      </x:c>
      <x:c r="D48" s="26" t="n">
        <x:v>2024</x:v>
      </x:c>
      <x:c r="E48" t="str">
        <x:v>Existing</x:v>
      </x:c>
      <x:c r="F48" t="str">
        <x:v>Coal - Local</x:v>
      </x:c>
      <x:c r="G48" t="str">
        <x:v>Local Coal</x:v>
      </x:c>
      <x:c r="H48" s="20" t="n">
        <x:v>660</x:v>
      </x:c>
      <x:c r="I48" s="20" t="n">
        <x:v>602</x:v>
      </x:c>
      <x:c r="J48" t="str">
        <x:v>Sindh</x:v>
      </x:c>
      <x:c r="K48" t="str">
        <x:v>Thar coalfield</x:v>
      </x:c>
      <x:c r="L48" s="22" t="n">
        <x:v>24.64</x:v>
      </x:c>
      <x:c r="M48" s="22" t="n">
        <x:v>70.22</x:v>
      </x:c>
      <x:c r="N48" t="str">
        <x:v>Site vicinity</x:v>
      </x:c>
      <x:c r="O48"/>
      <x:c r="P48" t="str">
        <x:v>NGC</x:v>
      </x:c>
      <x:c r="Q48"/>
      <x:c r="R48" t="str">
        <x:v>Engro Thar</x:v>
      </x:c>
      <x:c r="S48" t="n">
        <x:v>124</x:v>
      </x:c>
      <x:c r="T48" t="str">
        <x:v>Annexure B-1(i)</x:v>
      </x:c>
      <x:c r="U48" t="n">
        <x:v>150</x:v>
      </x:c>
      <x:c r="V48" t="n">
        <x:v>95</x:v>
      </x:c>
      <x:c r="W48" t="str">
        <x:v>Plant coordinates are not provided in the IGCEP; plotted coordinates are indicative.</x:v>
      </x:c>
      <x:c r="X48" s="24" t="n">
        <x:v>85.44</x:v>
      </x:c>
      <x:c r="Y48" s="24" t="n">
        <x:v>82.8</x:v>
      </x:c>
      <x:c r="Z48" s="24" t="n">
        <x:v>83.45</x:v>
      </x:c>
      <x:c r="AA48" s="24" t="n">
        <x:v>82.11</x:v>
      </x:c>
      <x:c r="AB48" s="24" t="n">
        <x:v>81.36</x:v>
      </x:c>
      <x:c r="AC48" s="24" t="n">
        <x:v>79.28</x:v>
      </x:c>
      <x:c r="AD48" s="24" t="n">
        <x:v>68.81</x:v>
      </x:c>
      <x:c r="AE48" s="24" t="n">
        <x:v>48.55</x:v>
      </x:c>
      <x:c r="AF48" s="24" t="n">
        <x:v>38.91</x:v>
      </x:c>
    </x:row>
    <x:row r="49" ht="18" customHeight="1">
      <x:c r="A49" t="str">
        <x:v>B01-046</x:v>
      </x:c>
      <x:c r="B49" t="str">
        <x:v>FKPCL</x:v>
      </x:c>
      <x:c r="C49" t="str">
        <x:v>Existing (Nov 2024)</x:v>
      </x:c>
      <x:c r="D49" s="26" t="n">
        <x:v>2024</x:v>
      </x:c>
      <x:c r="E49" t="str">
        <x:v>Existing</x:v>
      </x:c>
      <x:c r="F49" t="str">
        <x:v>RLNG</x:v>
      </x:c>
      <x:c r="G49" t="str">
        <x:v>RLNG</x:v>
      </x:c>
      <x:c r="H49" s="20" t="n">
        <x:v>157</x:v>
      </x:c>
      <x:c r="I49" s="20" t="n">
        <x:v>151</x:v>
      </x:c>
      <x:c r="J49" t="str">
        <x:v>Punjab</x:v>
      </x:c>
      <x:c r="K49" t="str">
        <x:v>Kabirwala–Khanewal</x:v>
      </x:c>
      <x:c r="L49" s="22" t="n">
        <x:v>30.4</x:v>
      </x:c>
      <x:c r="M49" s="22" t="n">
        <x:v>71.87</x:v>
      </x:c>
      <x:c r="N49" t="str">
        <x:v>Regional locality</x:v>
      </x:c>
      <x:c r="O49"/>
      <x:c r="P49" t="str">
        <x:v>NGC</x:v>
      </x:c>
      <x:c r="Q49" t="n">
        <x:v>2032</x:v>
      </x:c>
      <x:c r="R49" t="str">
        <x:v>FKPCL</x:v>
      </x:c>
      <x:c r="S49" t="n">
        <x:v>125</x:v>
      </x:c>
      <x:c r="T49" t="str">
        <x:v>Annexure B-1(i)</x:v>
      </x:c>
      <x:c r="U49" t="n">
        <x:v>150</x:v>
      </x:c>
      <x:c r="V49" t="n">
        <x:v>95</x:v>
      </x:c>
      <x:c r="W49" t="str">
        <x:v>Plant coordinates are not provided in the IGCEP; plotted coordinates are indicative.</x:v>
      </x:c>
      <x:c r="X49" s="24" t="n">
        <x:v>12.24</x:v>
      </x:c>
      <x:c r="Y49" s="24" t="n">
        <x:v>12.63</x:v>
      </x:c>
      <x:c r="Z49" s="24" t="n">
        <x:v>0.6</x:v>
      </x:c>
      <x:c r="AA49" s="24" t="n">
        <x:v>2.39</x:v>
      </x:c>
      <x:c r="AB49" s="24" t="n">
        <x:v>4.71</x:v>
      </x:c>
      <x:c r="AC49" s="24" t="n">
        <x:v>3.23</x:v>
      </x:c>
      <x:c r="AD49" s="24" t="n">
        <x:v>0</x:v>
      </x:c>
      <x:c r="AE49" s="24" t="n">
        <x:v>0</x:v>
      </x:c>
      <x:c r="AF49" s="24" t="n">
        <x:v>0</x:v>
      </x:c>
    </x:row>
    <x:row r="50" ht="18" customHeight="1">
      <x:c r="A50" t="str">
        <x:v>B01-047</x:v>
      </x:c>
      <x:c r="B50" t="str">
        <x:v>Foundation</x:v>
      </x:c>
      <x:c r="C50" t="str">
        <x:v>Existing (Nov 2024)</x:v>
      </x:c>
      <x:c r="D50" s="26" t="n">
        <x:v>2024</x:v>
      </x:c>
      <x:c r="E50" t="str">
        <x:v>Existing</x:v>
      </x:c>
      <x:c r="F50" t="str">
        <x:v>Gas</x:v>
      </x:c>
      <x:c r="G50" t="str">
        <x:v>Gas</x:v>
      </x:c>
      <x:c r="H50" s="20" t="n">
        <x:v>178</x:v>
      </x:c>
      <x:c r="I50" s="20" t="n">
        <x:v>174</x:v>
      </x:c>
      <x:c r="J50" t="str">
        <x:v>Sindh</x:v>
      </x:c>
      <x:c r="K50" t="str">
        <x:v>Ghotki–Daharki gas corridor</x:v>
      </x:c>
      <x:c r="L50" s="22" t="n">
        <x:v>28.02</x:v>
      </x:c>
      <x:c r="M50" s="22" t="n">
        <x:v>69.54</x:v>
      </x:c>
      <x:c r="N50" t="str">
        <x:v>Cluster proxy</x:v>
      </x:c>
      <x:c r="O50"/>
      <x:c r="P50" t="str">
        <x:v>NGC</x:v>
      </x:c>
      <x:c r="Q50"/>
      <x:c r="R50" t="str">
        <x:v>Foundation</x:v>
      </x:c>
      <x:c r="S50" t="n">
        <x:v>124</x:v>
      </x:c>
      <x:c r="T50" t="str">
        <x:v>Annexure B-1(i)</x:v>
      </x:c>
      <x:c r="U50" t="n">
        <x:v>150</x:v>
      </x:c>
      <x:c r="V50" t="n">
        <x:v>95</x:v>
      </x:c>
      <x:c r="W50" t="str">
        <x:v>Group marker is a geographical cluster proxy, not the plant’s exact site.</x:v>
      </x:c>
      <x:c r="X50" s="24" t="n">
        <x:v>76.27</x:v>
      </x:c>
      <x:c r="Y50" s="24" t="n">
        <x:v>53.66</x:v>
      </x:c>
      <x:c r="Z50" s="24" t="n">
        <x:v>53.66</x:v>
      </x:c>
      <x:c r="AA50" s="24" t="n">
        <x:v>53.66</x:v>
      </x:c>
      <x:c r="AB50" s="24" t="n">
        <x:v>68.72</x:v>
      </x:c>
      <x:c r="AC50" s="24" t="n">
        <x:v>53.66</x:v>
      </x:c>
      <x:c r="AD50" s="24" t="n">
        <x:v>53.65</x:v>
      </x:c>
      <x:c r="AE50" s="24" t="n">
        <x:v>53.66</x:v>
      </x:c>
      <x:c r="AF50" s="24" t="n">
        <x:v>53.66</x:v>
      </x:c>
    </x:row>
    <x:row r="51" ht="18" customHeight="1">
      <x:c r="A51" t="str">
        <x:v>B01-048</x:v>
      </x:c>
      <x:c r="B51" t="str">
        <x:v>Halmore</x:v>
      </x:c>
      <x:c r="C51" t="str">
        <x:v>Existing (Nov 2024)</x:v>
      </x:c>
      <x:c r="D51" s="26" t="n">
        <x:v>2024</x:v>
      </x:c>
      <x:c r="E51" t="str">
        <x:v>Existing</x:v>
      </x:c>
      <x:c r="F51" t="str">
        <x:v>RLNG</x:v>
      </x:c>
      <x:c r="G51" t="str">
        <x:v>RLNG</x:v>
      </x:c>
      <x:c r="H51" s="20" t="n">
        <x:v>215</x:v>
      </x:c>
      <x:c r="I51" s="20" t="n">
        <x:v>200</x:v>
      </x:c>
      <x:c r="J51" t="str">
        <x:v>Punjab</x:v>
      </x:c>
      <x:c r="K51"/>
      <x:c r="L51" s="22"/>
      <x:c r="M51" s="22"/>
      <x:c r="N51" t="str">
        <x:v>Not located in IGCEP</x:v>
      </x:c>
      <x:c r="O51"/>
      <x:c r="P51" t="str">
        <x:v>NGC</x:v>
      </x:c>
      <x:c r="Q51"/>
      <x:c r="R51" t="str">
        <x:v>Halmore</x:v>
      </x:c>
      <x:c r="S51" t="n">
        <x:v>125</x:v>
      </x:c>
      <x:c r="T51" t="str">
        <x:v>Annexure B-1(i)</x:v>
      </x:c>
      <x:c r="U51" t="n">
        <x:v>150</x:v>
      </x:c>
      <x:c r="V51" t="n">
        <x:v>95</x:v>
      </x:c>
      <x:c r="W51" t="str">
        <x:v>Region inferred from project/agency context; site not geocoded.</x:v>
      </x:c>
      <x:c r="X51" s="24" t="n">
        <x:v>13.2</x:v>
      </x:c>
      <x:c r="Y51" s="24" t="n">
        <x:v>3.31</x:v>
      </x:c>
      <x:c r="Z51" s="24" t="n">
        <x:v>3.76</x:v>
      </x:c>
      <x:c r="AA51" s="24" t="n">
        <x:v>4.81</x:v>
      </x:c>
      <x:c r="AB51" s="24" t="n">
        <x:v>6.28</x:v>
      </x:c>
      <x:c r="AC51" s="24" t="n">
        <x:v>6.48</x:v>
      </x:c>
      <x:c r="AD51" s="24" t="n">
        <x:v>0</x:v>
      </x:c>
      <x:c r="AE51" s="24" t="n">
        <x:v>0</x:v>
      </x:c>
      <x:c r="AF51" s="24" t="n">
        <x:v>0</x:v>
      </x:c>
    </x:row>
    <x:row r="52" ht="18" customHeight="1">
      <x:c r="A52" t="str">
        <x:v>B01-049</x:v>
      </x:c>
      <x:c r="B52" t="str">
        <x:v>Haveli</x:v>
      </x:c>
      <x:c r="C52" t="str">
        <x:v>Existing (Nov 2024)</x:v>
      </x:c>
      <x:c r="D52" s="26" t="n">
        <x:v>2024</x:v>
      </x:c>
      <x:c r="E52" t="str">
        <x:v>Existing</x:v>
      </x:c>
      <x:c r="F52" t="str">
        <x:v>RLNG</x:v>
      </x:c>
      <x:c r="G52" t="str">
        <x:v>RLNG</x:v>
      </x:c>
      <x:c r="H52" s="20" t="n">
        <x:v>1231</x:v>
      </x:c>
      <x:c r="I52" s="20" t="n">
        <x:v>1180</x:v>
      </x:c>
      <x:c r="J52" t="str">
        <x:v>Punjab</x:v>
      </x:c>
      <x:c r="K52"/>
      <x:c r="L52" s="22"/>
      <x:c r="M52" s="22"/>
      <x:c r="N52" t="str">
        <x:v>Not located in IGCEP</x:v>
      </x:c>
      <x:c r="O52"/>
      <x:c r="P52" t="str">
        <x:v>NGC</x:v>
      </x:c>
      <x:c r="Q52"/>
      <x:c r="R52" t="str">
        <x:v>Haveli</x:v>
      </x:c>
      <x:c r="S52" t="n">
        <x:v>125</x:v>
      </x:c>
      <x:c r="T52" t="str">
        <x:v>Annexure B-1(i)</x:v>
      </x:c>
      <x:c r="U52" t="n">
        <x:v>150</x:v>
      </x:c>
      <x:c r="V52" t="n">
        <x:v>95</x:v>
      </x:c>
      <x:c r="W52" t="str">
        <x:v>Region inferred from project/agency context; site not geocoded.</x:v>
      </x:c>
      <x:c r="X52" s="24" t="n">
        <x:v>61.98</x:v>
      </x:c>
      <x:c r="Y52" s="24" t="n">
        <x:v>61.63</x:v>
      </x:c>
      <x:c r="Z52" s="24" t="n">
        <x:v>68.92</x:v>
      </x:c>
      <x:c r="AA52" s="24" t="n">
        <x:v>70.72</x:v>
      </x:c>
      <x:c r="AB52" s="24" t="n">
        <x:v>65.15</x:v>
      </x:c>
      <x:c r="AC52" s="24" t="n">
        <x:v>66.25</x:v>
      </x:c>
      <x:c r="AD52" s="24" t="n">
        <x:v>4.78</x:v>
      </x:c>
      <x:c r="AE52" s="24" t="n">
        <x:v>4.03</x:v>
      </x:c>
      <x:c r="AF52" s="24" t="n">
        <x:v>2.89</x:v>
      </x:c>
    </x:row>
    <x:row r="53" ht="18" customHeight="1">
      <x:c r="A53" t="str">
        <x:v>B01-050</x:v>
      </x:c>
      <x:c r="B53" t="str">
        <x:v>HuB N</x:v>
      </x:c>
      <x:c r="C53" t="str">
        <x:v>Existing (Nov 2024)</x:v>
      </x:c>
      <x:c r="D53" s="26" t="n">
        <x:v>2024</x:v>
      </x:c>
      <x:c r="E53" t="str">
        <x:v>Existing</x:v>
      </x:c>
      <x:c r="F53" t="str">
        <x:v>RFO</x:v>
      </x:c>
      <x:c r="G53" t="str">
        <x:v>RFO</x:v>
      </x:c>
      <x:c r="H53" s="20" t="n">
        <x:v>219</x:v>
      </x:c>
      <x:c r="I53" s="20" t="n">
        <x:v>216</x:v>
      </x:c>
      <x:c r="J53" t="str">
        <x:v>Balochistan</x:v>
      </x:c>
      <x:c r="K53" t="str">
        <x:v>Hub coastal power complex</x:v>
      </x:c>
      <x:c r="L53" s="22" t="n">
        <x:v>25.14</x:v>
      </x:c>
      <x:c r="M53" s="22" t="n">
        <x:v>66.74</x:v>
      </x:c>
      <x:c r="N53" t="str">
        <x:v>Site vicinity</x:v>
      </x:c>
      <x:c r="O53"/>
      <x:c r="P53" t="str">
        <x:v>NGC</x:v>
      </x:c>
      <x:c r="Q53"/>
      <x:c r="R53" t="str">
        <x:v>HuB N</x:v>
      </x:c>
      <x:c r="S53" t="n">
        <x:v>124</x:v>
      </x:c>
      <x:c r="T53" t="str">
        <x:v>Annexure B-1(i)</x:v>
      </x:c>
      <x:c r="U53" t="n">
        <x:v>150</x:v>
      </x:c>
      <x:c r="V53" t="n">
        <x:v>95</x:v>
      </x:c>
      <x:c r="W53" t="str">
        <x:v>Plant coordinates are not provided in the IGCEP; plotted coordinates are indicative.</x:v>
      </x:c>
      <x:c r="X53" s="24" t="n">
        <x:v>15.06</x:v>
      </x:c>
      <x:c r="Y53" s="24" t="n">
        <x:v>15.06</x:v>
      </x:c>
      <x:c r="Z53" s="24" t="n">
        <x:v>0</x:v>
      </x:c>
      <x:c r="AA53" s="24" t="n">
        <x:v>0</x:v>
      </x:c>
      <x:c r="AB53" s="24" t="n">
        <x:v>0</x:v>
      </x:c>
      <x:c r="AC53" s="24" t="n">
        <x:v>0</x:v>
      </x:c>
      <x:c r="AD53" s="24" t="n">
        <x:v>0</x:v>
      </x:c>
      <x:c r="AE53" s="24" t="n">
        <x:v>0</x:v>
      </x:c>
      <x:c r="AF53" s="24" t="n">
        <x:v>0</x:v>
      </x:c>
    </x:row>
    <x:row r="54" ht="18" customHeight="1">
      <x:c r="A54" t="str">
        <x:v>B01-051</x:v>
      </x:c>
      <x:c r="B54" t="str">
        <x:v>KAPCO</x:v>
      </x:c>
      <x:c r="C54" t="str">
        <x:v>Existing (Nov 2024)</x:v>
      </x:c>
      <x:c r="D54" s="26" t="n">
        <x:v>2024</x:v>
      </x:c>
      <x:c r="E54" t="str">
        <x:v>Existing</x:v>
      </x:c>
      <x:c r="F54" t="str">
        <x:v>RLNG</x:v>
      </x:c>
      <x:c r="G54" t="str">
        <x:v>RLNG</x:v>
      </x:c>
      <x:c r="H54" s="20" t="n">
        <x:v>495</x:v>
      </x:c>
      <x:c r="I54" s="20" t="n">
        <x:v>495</x:v>
      </x:c>
      <x:c r="J54" t="str">
        <x:v>Punjab</x:v>
      </x:c>
      <x:c r="K54" t="str">
        <x:v>Kot Addu</x:v>
      </x:c>
      <x:c r="L54" s="22" t="n">
        <x:v>30.47</x:v>
      </x:c>
      <x:c r="M54" s="22" t="n">
        <x:v>70.96</x:v>
      </x:c>
      <x:c r="N54" t="str">
        <x:v>Site vicinity</x:v>
      </x:c>
      <x:c r="O54"/>
      <x:c r="P54" t="str">
        <x:v>NGC</x:v>
      </x:c>
      <x:c r="Q54" t="n">
        <x:v>2029</x:v>
      </x:c>
      <x:c r="R54"/>
      <x:c r="S54"/>
      <x:c r="T54" t="str">
        <x:v>Annexure B-1(i)</x:v>
      </x:c>
      <x:c r="U54" t="n">
        <x:v>150</x:v>
      </x:c>
      <x:c r="V54" t="n">
        <x:v>95</x:v>
      </x:c>
      <x:c r="W54" t="str">
        <x:v>Plant coordinates are not provided in the IGCEP; plotted coordinates are indicative.</x:v>
      </x:c>
      <x:c r="X54" s="24"/>
      <x:c r="Y54" s="24"/>
      <x:c r="Z54" s="24"/>
      <x:c r="AA54" s="24"/>
      <x:c r="AB54" s="24"/>
      <x:c r="AC54" s="24"/>
      <x:c r="AD54" s="24"/>
      <x:c r="AE54" s="24"/>
      <x:c r="AF54" s="24"/>
    </x:row>
    <x:row r="55" ht="18" customHeight="1">
      <x:c r="A55" t="str">
        <x:v>B01-052</x:v>
      </x:c>
      <x:c r="B55" t="str">
        <x:v>Kohinoor</x:v>
      </x:c>
      <x:c r="C55" t="str">
        <x:v>Existing (Nov 2024)</x:v>
      </x:c>
      <x:c r="D55" s="26" t="n">
        <x:v>2024</x:v>
      </x:c>
      <x:c r="E55" t="str">
        <x:v>Existing</x:v>
      </x:c>
      <x:c r="F55" t="str">
        <x:v>RFO</x:v>
      </x:c>
      <x:c r="G55" t="str">
        <x:v>RFO</x:v>
      </x:c>
      <x:c r="H55" s="20" t="n">
        <x:v>131</x:v>
      </x:c>
      <x:c r="I55" s="20" t="n">
        <x:v>124</x:v>
      </x:c>
      <x:c r="J55" t="str">
        <x:v>Punjab</x:v>
      </x:c>
      <x:c r="K55"/>
      <x:c r="L55" s="22"/>
      <x:c r="M55" s="22"/>
      <x:c r="N55" t="str">
        <x:v>Not located in IGCEP</x:v>
      </x:c>
      <x:c r="O55"/>
      <x:c r="P55" t="str">
        <x:v>NGC</x:v>
      </x:c>
      <x:c r="Q55" t="n">
        <x:v>2028</x:v>
      </x:c>
      <x:c r="R55" t="str">
        <x:v>Kohinoor</x:v>
      </x:c>
      <x:c r="S55" t="n">
        <x:v>124</x:v>
      </x:c>
      <x:c r="T55" t="str">
        <x:v>Annexure B-1(i)</x:v>
      </x:c>
      <x:c r="U55" t="n">
        <x:v>150</x:v>
      </x:c>
      <x:c r="V55" t="n">
        <x:v>95</x:v>
      </x:c>
      <x:c r="W55" t="str">
        <x:v>Region inferred from project/agency context; site not geocoded.</x:v>
      </x:c>
      <x:c r="X55" s="24" t="n">
        <x:v>13.46</x:v>
      </x:c>
      <x:c r="Y55" s="24" t="n">
        <x:v>0</x:v>
      </x:c>
      <x:c r="Z55" s="24" t="n">
        <x:v>0</x:v>
      </x:c>
      <x:c r="AA55" s="24" t="n">
        <x:v>0</x:v>
      </x:c>
      <x:c r="AB55" s="24" t="n">
        <x:v>0</x:v>
      </x:c>
      <x:c r="AC55" s="24" t="n">
        <x:v>0</x:v>
      </x:c>
      <x:c r="AD55" s="24" t="n">
        <x:v>0</x:v>
      </x:c>
      <x:c r="AE55" s="24" t="n">
        <x:v>0</x:v>
      </x:c>
      <x:c r="AF55" s="24" t="n">
        <x:v>0</x:v>
      </x:c>
    </x:row>
    <x:row r="56" ht="18" customHeight="1">
      <x:c r="A56" t="str">
        <x:v>B01-053</x:v>
      </x:c>
      <x:c r="B56" t="str">
        <x:v>Liberty</x:v>
      </x:c>
      <x:c r="C56" t="str">
        <x:v>Existing (Nov 2024)</x:v>
      </x:c>
      <x:c r="D56" s="26" t="n">
        <x:v>2024</x:v>
      </x:c>
      <x:c r="E56" t="str">
        <x:v>Existing</x:v>
      </x:c>
      <x:c r="F56" t="str">
        <x:v>Gas</x:v>
      </x:c>
      <x:c r="G56" t="str">
        <x:v>Gas</x:v>
      </x:c>
      <x:c r="H56" s="20" t="n">
        <x:v>235</x:v>
      </x:c>
      <x:c r="I56" s="20" t="n">
        <x:v>222</x:v>
      </x:c>
      <x:c r="J56" t="str">
        <x:v>Sindh</x:v>
      </x:c>
      <x:c r="K56" t="str">
        <x:v>Ghotki–Daharki gas corridor</x:v>
      </x:c>
      <x:c r="L56" s="22" t="n">
        <x:v>28.02</x:v>
      </x:c>
      <x:c r="M56" s="22" t="n">
        <x:v>69.54</x:v>
      </x:c>
      <x:c r="N56" t="str">
        <x:v>Cluster proxy</x:v>
      </x:c>
      <x:c r="O56"/>
      <x:c r="P56" t="str">
        <x:v>NGC</x:v>
      </x:c>
      <x:c r="Q56" t="n">
        <x:v>2028</x:v>
      </x:c>
      <x:c r="R56" t="str">
        <x:v>Liberty</x:v>
      </x:c>
      <x:c r="S56" t="n">
        <x:v>124</x:v>
      </x:c>
      <x:c r="T56" t="str">
        <x:v>Annexure B-1(i)</x:v>
      </x:c>
      <x:c r="U56" t="n">
        <x:v>150</x:v>
      </x:c>
      <x:c r="V56" t="n">
        <x:v>95</x:v>
      </x:c>
      <x:c r="W56" t="str">
        <x:v>Group marker is a geographical cluster proxy, not the plant’s exact site.</x:v>
      </x:c>
      <x:c r="X56" s="24" t="n">
        <x:v>37.54</x:v>
      </x:c>
      <x:c r="Y56" s="24" t="n">
        <x:v>9.38</x:v>
      </x:c>
      <x:c r="Z56" s="24" t="n">
        <x:v>0</x:v>
      </x:c>
      <x:c r="AA56" s="24" t="n">
        <x:v>0</x:v>
      </x:c>
      <x:c r="AB56" s="24" t="n">
        <x:v>0</x:v>
      </x:c>
      <x:c r="AC56" s="24" t="n">
        <x:v>0</x:v>
      </x:c>
      <x:c r="AD56" s="24" t="n">
        <x:v>0</x:v>
      </x:c>
      <x:c r="AE56" s="24" t="n">
        <x:v>0</x:v>
      </x:c>
      <x:c r="AF56" s="24" t="n">
        <x:v>0</x:v>
      </x:c>
    </x:row>
    <x:row r="57" ht="18" customHeight="1">
      <x:c r="A57" t="str">
        <x:v>B01-054</x:v>
      </x:c>
      <x:c r="B57" t="str">
        <x:v>Liberty Tech</x:v>
      </x:c>
      <x:c r="C57" t="str">
        <x:v>Existing (Nov 2024)</x:v>
      </x:c>
      <x:c r="D57" s="26" t="n">
        <x:v>2024</x:v>
      </x:c>
      <x:c r="E57" t="str">
        <x:v>Existing</x:v>
      </x:c>
      <x:c r="F57" t="str">
        <x:v>RFO</x:v>
      </x:c>
      <x:c r="G57" t="str">
        <x:v>RFO</x:v>
      </x:c>
      <x:c r="H57" s="20" t="n">
        <x:v>200</x:v>
      </x:c>
      <x:c r="I57" s="20" t="n">
        <x:v>196.139</x:v>
      </x:c>
      <x:c r="J57" t="str">
        <x:v>Punjab</x:v>
      </x:c>
      <x:c r="K57"/>
      <x:c r="L57" s="22"/>
      <x:c r="M57" s="22"/>
      <x:c r="N57" t="str">
        <x:v>Not located in IGCEP</x:v>
      </x:c>
      <x:c r="O57"/>
      <x:c r="P57" t="str">
        <x:v>NGC</x:v>
      </x:c>
      <x:c r="Q57"/>
      <x:c r="R57" t="str">
        <x:v>Liberty Tech</x:v>
      </x:c>
      <x:c r="S57" t="n">
        <x:v>124</x:v>
      </x:c>
      <x:c r="T57" t="str">
        <x:v>Annexure B-1(i)</x:v>
      </x:c>
      <x:c r="U57" t="n">
        <x:v>150</x:v>
      </x:c>
      <x:c r="V57" t="n">
        <x:v>95</x:v>
      </x:c>
      <x:c r="W57" t="str">
        <x:v>Region inferred from project/agency context; site not geocoded.</x:v>
      </x:c>
      <x:c r="X57" s="24" t="n">
        <x:v>14.88</x:v>
      </x:c>
      <x:c r="Y57" s="24" t="n">
        <x:v>0</x:v>
      </x:c>
      <x:c r="Z57" s="24" t="n">
        <x:v>0</x:v>
      </x:c>
      <x:c r="AA57" s="24" t="n">
        <x:v>0</x:v>
      </x:c>
      <x:c r="AB57" s="24" t="n">
        <x:v>0</x:v>
      </x:c>
      <x:c r="AC57" s="24" t="n">
        <x:v>0</x:v>
      </x:c>
      <x:c r="AD57" s="24" t="n">
        <x:v>0</x:v>
      </x:c>
      <x:c r="AE57" s="24" t="n">
        <x:v>0</x:v>
      </x:c>
      <x:c r="AF57" s="24" t="n">
        <x:v>0</x:v>
      </x:c>
    </x:row>
    <x:row r="58" ht="18" customHeight="1">
      <x:c r="A58" t="str">
        <x:v>B01-055</x:v>
      </x:c>
      <x:c r="B58" t="str">
        <x:v>Nishat C</x:v>
      </x:c>
      <x:c r="C58" t="str">
        <x:v>Existing (Nov 2024)</x:v>
      </x:c>
      <x:c r="D58" s="26" t="n">
        <x:v>2024</x:v>
      </x:c>
      <x:c r="E58" t="str">
        <x:v>Existing</x:v>
      </x:c>
      <x:c r="F58" t="str">
        <x:v>RFO</x:v>
      </x:c>
      <x:c r="G58" t="str">
        <x:v>RFO</x:v>
      </x:c>
      <x:c r="H58" s="20" t="n">
        <x:v>200</x:v>
      </x:c>
      <x:c r="I58" s="20" t="n">
        <x:v>196</x:v>
      </x:c>
      <x:c r="J58" t="str">
        <x:v>Punjab</x:v>
      </x:c>
      <x:c r="K58"/>
      <x:c r="L58" s="22"/>
      <x:c r="M58" s="22"/>
      <x:c r="N58" t="str">
        <x:v>Not located in IGCEP</x:v>
      </x:c>
      <x:c r="O58"/>
      <x:c r="P58" t="str">
        <x:v>NGC</x:v>
      </x:c>
      <x:c r="Q58"/>
      <x:c r="R58" t="str">
        <x:v>Nishat C</x:v>
      </x:c>
      <x:c r="S58" t="n">
        <x:v>124</x:v>
      </x:c>
      <x:c r="T58" t="str">
        <x:v>Annexure B-1(i)</x:v>
      </x:c>
      <x:c r="U58" t="n">
        <x:v>151</x:v>
      </x:c>
      <x:c r="V58" t="n">
        <x:v>96</x:v>
      </x:c>
      <x:c r="W58" t="str">
        <x:v>Region inferred from project/agency context; site not geocoded.</x:v>
      </x:c>
      <x:c r="X58" s="24" t="n">
        <x:v>14.87</x:v>
      </x:c>
      <x:c r="Y58" s="24" t="n">
        <x:v>0</x:v>
      </x:c>
      <x:c r="Z58" s="24" t="n">
        <x:v>0</x:v>
      </x:c>
      <x:c r="AA58" s="24" t="n">
        <x:v>0</x:v>
      </x:c>
      <x:c r="AB58" s="24" t="n">
        <x:v>0</x:v>
      </x:c>
      <x:c r="AC58" s="24" t="n">
        <x:v>0</x:v>
      </x:c>
      <x:c r="AD58" s="24" t="n">
        <x:v>0</x:v>
      </x:c>
      <x:c r="AE58" s="24" t="n">
        <x:v>0</x:v>
      </x:c>
      <x:c r="AF58" s="24" t="n">
        <x:v>0</x:v>
      </x:c>
    </x:row>
    <x:row r="59" ht="18" customHeight="1">
      <x:c r="A59" t="str">
        <x:v>B01-056</x:v>
      </x:c>
      <x:c r="B59" t="str">
        <x:v>Nishat P</x:v>
      </x:c>
      <x:c r="C59" t="str">
        <x:v>Existing (Nov 2024)</x:v>
      </x:c>
      <x:c r="D59" s="26" t="n">
        <x:v>2024</x:v>
      </x:c>
      <x:c r="E59" t="str">
        <x:v>Existing</x:v>
      </x:c>
      <x:c r="F59" t="str">
        <x:v>RFO</x:v>
      </x:c>
      <x:c r="G59" t="str">
        <x:v>RFO</x:v>
      </x:c>
      <x:c r="H59" s="20" t="n">
        <x:v>200</x:v>
      </x:c>
      <x:c r="I59" s="20" t="n">
        <x:v>195</x:v>
      </x:c>
      <x:c r="J59" t="str">
        <x:v>Punjab</x:v>
      </x:c>
      <x:c r="K59"/>
      <x:c r="L59" s="22"/>
      <x:c r="M59" s="22"/>
      <x:c r="N59" t="str">
        <x:v>Not located in IGCEP</x:v>
      </x:c>
      <x:c r="O59"/>
      <x:c r="P59" t="str">
        <x:v>NGC</x:v>
      </x:c>
      <x:c r="Q59"/>
      <x:c r="R59" t="str">
        <x:v>Nishat P</x:v>
      </x:c>
      <x:c r="S59" t="n">
        <x:v>124</x:v>
      </x:c>
      <x:c r="T59" t="str">
        <x:v>Annexure B-1(i)</x:v>
      </x:c>
      <x:c r="U59" t="n">
        <x:v>151</x:v>
      </x:c>
      <x:c r="V59" t="n">
        <x:v>96</x:v>
      </x:c>
      <x:c r="W59" t="str">
        <x:v>Region inferred from project/agency context; site not geocoded.</x:v>
      </x:c>
      <x:c r="X59" s="24" t="n">
        <x:v>12.27</x:v>
      </x:c>
      <x:c r="Y59" s="24" t="n">
        <x:v>0</x:v>
      </x:c>
      <x:c r="Z59" s="24" t="n">
        <x:v>0</x:v>
      </x:c>
      <x:c r="AA59" s="24" t="n">
        <x:v>0</x:v>
      </x:c>
      <x:c r="AB59" s="24" t="n">
        <x:v>0</x:v>
      </x:c>
      <x:c r="AC59" s="24" t="n">
        <x:v>0</x:v>
      </x:c>
      <x:c r="AD59" s="24" t="n">
        <x:v>0</x:v>
      </x:c>
      <x:c r="AE59" s="24" t="n">
        <x:v>0</x:v>
      </x:c>
      <x:c r="AF59" s="24" t="n">
        <x:v>0</x:v>
      </x:c>
    </x:row>
    <x:row r="60" ht="18" customHeight="1">
      <x:c r="A60" t="str">
        <x:v>B01-057</x:v>
      </x:c>
      <x:c r="B60" t="str">
        <x:v>Orient</x:v>
      </x:c>
      <x:c r="C60" t="str">
        <x:v>Existing (Nov 2024)</x:v>
      </x:c>
      <x:c r="D60" s="26" t="n">
        <x:v>2024</x:v>
      </x:c>
      <x:c r="E60" t="str">
        <x:v>Existing</x:v>
      </x:c>
      <x:c r="F60" t="str">
        <x:v>RLNG</x:v>
      </x:c>
      <x:c r="G60" t="str">
        <x:v>RLNG</x:v>
      </x:c>
      <x:c r="H60" s="20" t="n">
        <x:v>218</x:v>
      </x:c>
      <x:c r="I60" s="20" t="n">
        <x:v>206</x:v>
      </x:c>
      <x:c r="J60" t="str">
        <x:v>Punjab</x:v>
      </x:c>
      <x:c r="K60"/>
      <x:c r="L60" s="22"/>
      <x:c r="M60" s="22"/>
      <x:c r="N60" t="str">
        <x:v>Not located in IGCEP</x:v>
      </x:c>
      <x:c r="O60"/>
      <x:c r="P60" t="str">
        <x:v>NGC</x:v>
      </x:c>
      <x:c r="Q60"/>
      <x:c r="R60" t="str">
        <x:v>Orient</x:v>
      </x:c>
      <x:c r="S60" t="n">
        <x:v>125</x:v>
      </x:c>
      <x:c r="T60" t="str">
        <x:v>Annexure B-1(i)</x:v>
      </x:c>
      <x:c r="U60" t="n">
        <x:v>151</x:v>
      </x:c>
      <x:c r="V60" t="n">
        <x:v>96</x:v>
      </x:c>
      <x:c r="W60" t="str">
        <x:v>Region inferred from project/agency context; site not geocoded.</x:v>
      </x:c>
      <x:c r="X60" s="24" t="n">
        <x:v>13.2</x:v>
      </x:c>
      <x:c r="Y60" s="24" t="n">
        <x:v>3.47</x:v>
      </x:c>
      <x:c r="Z60" s="24" t="n">
        <x:v>4.52</x:v>
      </x:c>
      <x:c r="AA60" s="24" t="n">
        <x:v>5.04</x:v>
      </x:c>
      <x:c r="AB60" s="24" t="n">
        <x:v>7.08</x:v>
      </x:c>
      <x:c r="AC60" s="24" t="n">
        <x:v>7.02</x:v>
      </x:c>
      <x:c r="AD60" s="24" t="n">
        <x:v>0</x:v>
      </x:c>
      <x:c r="AE60" s="24" t="n">
        <x:v>0</x:v>
      </x:c>
      <x:c r="AF60" s="24" t="n">
        <x:v>0</x:v>
      </x:c>
    </x:row>
    <x:row r="61" ht="18" customHeight="1">
      <x:c r="A61" t="str">
        <x:v>B01-058</x:v>
      </x:c>
      <x:c r="B61" t="str">
        <x:v>Port Qasim</x:v>
      </x:c>
      <x:c r="C61" t="str">
        <x:v>Existing (Nov 2024)</x:v>
      </x:c>
      <x:c r="D61" s="26" t="n">
        <x:v>2024</x:v>
      </x:c>
      <x:c r="E61" t="str">
        <x:v>Existing</x:v>
      </x:c>
      <x:c r="F61" t="str">
        <x:v>Coal - Imported</x:v>
      </x:c>
      <x:c r="G61" t="str">
        <x:v>Imp. Coal</x:v>
      </x:c>
      <x:c r="H61" s="20" t="n">
        <x:v>1320</x:v>
      </x:c>
      <x:c r="I61" s="20" t="n">
        <x:v>1243</x:v>
      </x:c>
      <x:c r="J61" t="str">
        <x:v>Sindh</x:v>
      </x:c>
      <x:c r="K61" t="str">
        <x:v>Port Qasim–Karachi</x:v>
      </x:c>
      <x:c r="L61" s="22" t="n">
        <x:v>24.77</x:v>
      </x:c>
      <x:c r="M61" s="22" t="n">
        <x:v>67.36</x:v>
      </x:c>
      <x:c r="N61" t="str">
        <x:v>Site vicinity</x:v>
      </x:c>
      <x:c r="O61"/>
      <x:c r="P61" t="str">
        <x:v>NGC</x:v>
      </x:c>
      <x:c r="Q61"/>
      <x:c r="R61" t="str">
        <x:v>Port Qasim</x:v>
      </x:c>
      <x:c r="S61" t="n">
        <x:v>125</x:v>
      </x:c>
      <x:c r="T61" t="str">
        <x:v>Annexure B-1(i)</x:v>
      </x:c>
      <x:c r="U61" t="n">
        <x:v>151</x:v>
      </x:c>
      <x:c r="V61" t="n">
        <x:v>96</x:v>
      </x:c>
      <x:c r="W61" t="str">
        <x:v>Plant coordinates are not provided in the IGCEP; plotted coordinates are indicative.</x:v>
      </x:c>
      <x:c r="X61" s="24" t="n">
        <x:v>18.7</x:v>
      </x:c>
      <x:c r="Y61" s="24" t="n">
        <x:v>0.23</x:v>
      </x:c>
      <x:c r="Z61" s="24" t="n">
        <x:v>0.11</x:v>
      </x:c>
      <x:c r="AA61" s="24" t="n">
        <x:v>0.19</x:v>
      </x:c>
      <x:c r="AB61" s="24" t="n">
        <x:v>0.48</x:v>
      </x:c>
      <x:c r="AC61" s="24" t="n">
        <x:v>0.7</x:v>
      </x:c>
      <x:c r="AD61" s="24" t="n">
        <x:v>8.79</x:v>
      </x:c>
      <x:c r="AE61" s="24" t="n">
        <x:v>9.31</x:v>
      </x:c>
      <x:c r="AF61" s="24" t="n">
        <x:v>7.69</x:v>
      </x:c>
    </x:row>
    <x:row r="62" ht="18" customHeight="1">
      <x:c r="A62" t="str">
        <x:v>B01-059</x:v>
      </x:c>
      <x:c r="B62" t="str">
        <x:v>JPCL</x:v>
      </x:c>
      <x:c r="C62" t="str">
        <x:v>Existing (Nov 2024)</x:v>
      </x:c>
      <x:c r="D62" s="26" t="n">
        <x:v>2024</x:v>
      </x:c>
      <x:c r="E62" t="str">
        <x:v>Existing</x:v>
      </x:c>
      <x:c r="F62" t="str">
        <x:v>Coal - Imported</x:v>
      </x:c>
      <x:c r="G62" t="str">
        <x:v>Imp. Coal</x:v>
      </x:c>
      <x:c r="H62" s="20" t="n">
        <x:v>660</x:v>
      </x:c>
      <x:c r="I62" s="20" t="n">
        <x:v>620</x:v>
      </x:c>
      <x:c r="J62" t="str">
        <x:v>Sindh</x:v>
      </x:c>
      <x:c r="K62" t="str">
        <x:v>Jamshoro</x:v>
      </x:c>
      <x:c r="L62" s="22" t="n">
        <x:v>25.43</x:v>
      </x:c>
      <x:c r="M62" s="22" t="n">
        <x:v>68.26</x:v>
      </x:c>
      <x:c r="N62" t="str">
        <x:v>Site vicinity</x:v>
      </x:c>
      <x:c r="O62"/>
      <x:c r="P62" t="str">
        <x:v>NGC</x:v>
      </x:c>
      <x:c r="Q62"/>
      <x:c r="R62"/>
      <x:c r="S62"/>
      <x:c r="T62" t="str">
        <x:v>Annexure B-1(i)</x:v>
      </x:c>
      <x:c r="U62" t="n">
        <x:v>151</x:v>
      </x:c>
      <x:c r="V62" t="n">
        <x:v>96</x:v>
      </x:c>
      <x:c r="W62" t="str">
        <x:v>Plant coordinates are not provided in the IGCEP; plotted coordinates are indicative.</x:v>
      </x:c>
      <x:c r="X62" s="24"/>
      <x:c r="Y62" s="24"/>
      <x:c r="Z62" s="24"/>
      <x:c r="AA62" s="24"/>
      <x:c r="AB62" s="24"/>
      <x:c r="AC62" s="24"/>
      <x:c r="AD62" s="24"/>
      <x:c r="AE62" s="24"/>
      <x:c r="AF62" s="24"/>
    </x:row>
    <x:row r="63" ht="18" customHeight="1">
      <x:c r="A63" t="str">
        <x:v>B01-060</x:v>
      </x:c>
      <x:c r="B63" t="str">
        <x:v>Sahiwal Coal</x:v>
      </x:c>
      <x:c r="C63" t="str">
        <x:v>Existing (Nov 2024)</x:v>
      </x:c>
      <x:c r="D63" s="26" t="n">
        <x:v>2024</x:v>
      </x:c>
      <x:c r="E63" t="str">
        <x:v>Existing</x:v>
      </x:c>
      <x:c r="F63" t="str">
        <x:v>Coal - Imported</x:v>
      </x:c>
      <x:c r="G63" t="str">
        <x:v>Imp. Coal</x:v>
      </x:c>
      <x:c r="H63" s="20" t="n">
        <x:v>1320</x:v>
      </x:c>
      <x:c r="I63" s="20" t="n">
        <x:v>1231</x:v>
      </x:c>
      <x:c r="J63" t="str">
        <x:v>Punjab</x:v>
      </x:c>
      <x:c r="K63" t="str">
        <x:v>Sahiwal coal power site</x:v>
      </x:c>
      <x:c r="L63" s="22" t="n">
        <x:v>30.65</x:v>
      </x:c>
      <x:c r="M63" s="22" t="n">
        <x:v>73.12</x:v>
      </x:c>
      <x:c r="N63" t="str">
        <x:v>Site vicinity</x:v>
      </x:c>
      <x:c r="O63"/>
      <x:c r="P63" t="str">
        <x:v>NGC</x:v>
      </x:c>
      <x:c r="Q63"/>
      <x:c r="R63" t="str">
        <x:v>Sahiwal Coal</x:v>
      </x:c>
      <x:c r="S63" t="n">
        <x:v>125</x:v>
      </x:c>
      <x:c r="T63" t="str">
        <x:v>Annexure B-1(i)</x:v>
      </x:c>
      <x:c r="U63" t="n">
        <x:v>151</x:v>
      </x:c>
      <x:c r="V63" t="n">
        <x:v>96</x:v>
      </x:c>
      <x:c r="W63" t="str">
        <x:v>Plant coordinates are not provided in the IGCEP; plotted coordinates are indicative.</x:v>
      </x:c>
      <x:c r="X63" s="24" t="n">
        <x:v>0.85</x:v>
      </x:c>
      <x:c r="Y63" s="24" t="n">
        <x:v>0</x:v>
      </x:c>
      <x:c r="Z63" s="24" t="n">
        <x:v>0</x:v>
      </x:c>
      <x:c r="AA63" s="24" t="n">
        <x:v>0</x:v>
      </x:c>
      <x:c r="AB63" s="24" t="n">
        <x:v>0.05</x:v>
      </x:c>
      <x:c r="AC63" s="24" t="n">
        <x:v>0.14</x:v>
      </x:c>
      <x:c r="AD63" s="24" t="n">
        <x:v>8.67</x:v>
      </x:c>
      <x:c r="AE63" s="24" t="n">
        <x:v>8</x:v>
      </x:c>
      <x:c r="AF63" s="24" t="n">
        <x:v>9.89</x:v>
      </x:c>
    </x:row>
    <x:row r="64" ht="18" customHeight="1">
      <x:c r="A64" t="str">
        <x:v>B01-061</x:v>
      </x:c>
      <x:c r="B64" t="str">
        <x:v>Saif</x:v>
      </x:c>
      <x:c r="C64" t="str">
        <x:v>Existing (Nov 2024)</x:v>
      </x:c>
      <x:c r="D64" s="26" t="n">
        <x:v>2024</x:v>
      </x:c>
      <x:c r="E64" t="str">
        <x:v>Existing</x:v>
      </x:c>
      <x:c r="F64" t="str">
        <x:v>RLNG</x:v>
      </x:c>
      <x:c r="G64" t="str">
        <x:v>RLNG</x:v>
      </x:c>
      <x:c r="H64" s="20" t="n">
        <x:v>209</x:v>
      </x:c>
      <x:c r="I64" s="20" t="n">
        <x:v>204</x:v>
      </x:c>
      <x:c r="J64" t="str">
        <x:v>Punjab</x:v>
      </x:c>
      <x:c r="K64"/>
      <x:c r="L64" s="22"/>
      <x:c r="M64" s="22"/>
      <x:c r="N64" t="str">
        <x:v>Not located in IGCEP</x:v>
      </x:c>
      <x:c r="O64"/>
      <x:c r="P64" t="str">
        <x:v>NGC</x:v>
      </x:c>
      <x:c r="Q64"/>
      <x:c r="R64" t="str">
        <x:v>Saif</x:v>
      </x:c>
      <x:c r="S64" t="n">
        <x:v>125</x:v>
      </x:c>
      <x:c r="T64" t="str">
        <x:v>Annexure B-1(i)</x:v>
      </x:c>
      <x:c r="U64" t="n">
        <x:v>151</x:v>
      </x:c>
      <x:c r="V64" t="n">
        <x:v>96</x:v>
      </x:c>
      <x:c r="W64" t="str">
        <x:v>Region inferred from project/agency context; site not geocoded.</x:v>
      </x:c>
      <x:c r="X64" s="24" t="n">
        <x:v>12.89</x:v>
      </x:c>
      <x:c r="Y64" s="24" t="n">
        <x:v>13.82</x:v>
      </x:c>
      <x:c r="Z64" s="24" t="n">
        <x:v>0.94</x:v>
      </x:c>
      <x:c r="AA64" s="24" t="n">
        <x:v>4.11</x:v>
      </x:c>
      <x:c r="AB64" s="24" t="n">
        <x:v>5.75</x:v>
      </x:c>
      <x:c r="AC64" s="24" t="n">
        <x:v>5.6</x:v>
      </x:c>
      <x:c r="AD64" s="24" t="n">
        <x:v>0</x:v>
      </x:c>
      <x:c r="AE64" s="24" t="n">
        <x:v>0</x:v>
      </x:c>
      <x:c r="AF64" s="24" t="n">
        <x:v>0</x:v>
      </x:c>
    </x:row>
    <x:row r="65" ht="18" customHeight="1">
      <x:c r="A65" t="str">
        <x:v>B01-062</x:v>
      </x:c>
      <x:c r="B65" t="str">
        <x:v>Sapphire</x:v>
      </x:c>
      <x:c r="C65" t="str">
        <x:v>Existing (Nov 2024)</x:v>
      </x:c>
      <x:c r="D65" s="26" t="n">
        <x:v>2024</x:v>
      </x:c>
      <x:c r="E65" t="str">
        <x:v>Existing</x:v>
      </x:c>
      <x:c r="F65" t="str">
        <x:v>RLNG</x:v>
      </x:c>
      <x:c r="G65" t="str">
        <x:v>RLNG</x:v>
      </x:c>
      <x:c r="H65" s="20" t="n">
        <x:v>209</x:v>
      </x:c>
      <x:c r="I65" s="20" t="n">
        <x:v>204</x:v>
      </x:c>
      <x:c r="J65" t="str">
        <x:v>Punjab</x:v>
      </x:c>
      <x:c r="K65"/>
      <x:c r="L65" s="22"/>
      <x:c r="M65" s="22"/>
      <x:c r="N65" t="str">
        <x:v>Not located in IGCEP</x:v>
      </x:c>
      <x:c r="O65"/>
      <x:c r="P65" t="str">
        <x:v>NGC</x:v>
      </x:c>
      <x:c r="Q65"/>
      <x:c r="R65"/>
      <x:c r="S65"/>
      <x:c r="T65" t="str">
        <x:v>Annexure B-1(i)</x:v>
      </x:c>
      <x:c r="U65" t="n">
        <x:v>151</x:v>
      </x:c>
      <x:c r="V65" t="n">
        <x:v>96</x:v>
      </x:c>
      <x:c r="W65" t="str">
        <x:v>Region inferred from project/agency context; site not geocoded.</x:v>
      </x:c>
      <x:c r="X65" s="24"/>
      <x:c r="Y65" s="24"/>
      <x:c r="Z65" s="24"/>
      <x:c r="AA65" s="24"/>
      <x:c r="AB65" s="24"/>
      <x:c r="AC65" s="24"/>
      <x:c r="AD65" s="24"/>
      <x:c r="AE65" s="24"/>
      <x:c r="AF65" s="24"/>
    </x:row>
    <x:row r="66" ht="18" customHeight="1">
      <x:c r="A66" t="str">
        <x:v>B01-063</x:v>
      </x:c>
      <x:c r="B66" t="str">
        <x:v>Trimmu</x:v>
      </x:c>
      <x:c r="C66" t="str">
        <x:v>Existing (Nov 2024)</x:v>
      </x:c>
      <x:c r="D66" s="26" t="n">
        <x:v>2024</x:v>
      </x:c>
      <x:c r="E66" t="str">
        <x:v>Existing</x:v>
      </x:c>
      <x:c r="F66" t="str">
        <x:v>RLNG</x:v>
      </x:c>
      <x:c r="G66" t="str">
        <x:v>RLNG</x:v>
      </x:c>
      <x:c r="H66" s="20" t="n">
        <x:v>1263</x:v>
      </x:c>
      <x:c r="I66" s="20" t="n">
        <x:v>1244</x:v>
      </x:c>
      <x:c r="J66" t="str">
        <x:v>Punjab</x:v>
      </x:c>
      <x:c r="K66" t="str">
        <x:v>Trimmu–Jhang</x:v>
      </x:c>
      <x:c r="L66" s="22" t="n">
        <x:v>31.11</x:v>
      </x:c>
      <x:c r="M66" s="22" t="n">
        <x:v>72.17</x:v>
      </x:c>
      <x:c r="N66" t="str">
        <x:v>Site vicinity</x:v>
      </x:c>
      <x:c r="O66"/>
      <x:c r="P66" t="str">
        <x:v>NGC</x:v>
      </x:c>
      <x:c r="Q66"/>
      <x:c r="R66" t="str">
        <x:v>Trimmu</x:v>
      </x:c>
      <x:c r="S66" t="n">
        <x:v>125</x:v>
      </x:c>
      <x:c r="T66" t="str">
        <x:v>Annexure B-1(i)</x:v>
      </x:c>
      <x:c r="U66" t="n">
        <x:v>151</x:v>
      </x:c>
      <x:c r="V66" t="n">
        <x:v>96</x:v>
      </x:c>
      <x:c r="W66" t="str">
        <x:v>Plant coordinates are not provided in the IGCEP; plotted coordinates are indicative.</x:v>
      </x:c>
      <x:c r="X66" s="24" t="n">
        <x:v>5.24</x:v>
      </x:c>
      <x:c r="Y66" s="24" t="n">
        <x:v>9.21</x:v>
      </x:c>
      <x:c r="Z66" s="24" t="n">
        <x:v>8.39</x:v>
      </x:c>
      <x:c r="AA66" s="24" t="n">
        <x:v>7.34</x:v>
      </x:c>
      <x:c r="AB66" s="24" t="n">
        <x:v>10.45</x:v>
      </x:c>
      <x:c r="AC66" s="24" t="n">
        <x:v>9.14</x:v>
      </x:c>
      <x:c r="AD66" s="24" t="n">
        <x:v>1.78</x:v>
      </x:c>
      <x:c r="AE66" s="24" t="n">
        <x:v>0.92</x:v>
      </x:c>
      <x:c r="AF66" s="24" t="n">
        <x:v>0.92</x:v>
      </x:c>
    </x:row>
    <x:row r="67" ht="18" customHeight="1">
      <x:c r="A67" t="str">
        <x:v>B01-064</x:v>
      </x:c>
      <x:c r="B67" t="str">
        <x:v>Uch</x:v>
      </x:c>
      <x:c r="C67" t="str">
        <x:v>Existing (Nov 2024)</x:v>
      </x:c>
      <x:c r="D67" s="26" t="n">
        <x:v>2024</x:v>
      </x:c>
      <x:c r="E67" t="str">
        <x:v>Existing</x:v>
      </x:c>
      <x:c r="F67" t="str">
        <x:v>Gas</x:v>
      </x:c>
      <x:c r="G67" t="str">
        <x:v>Gas</x:v>
      </x:c>
      <x:c r="H67" s="20" t="n">
        <x:v>586</x:v>
      </x:c>
      <x:c r="I67" s="20" t="n">
        <x:v>549</x:v>
      </x:c>
      <x:c r="J67" t="str">
        <x:v>Balochistan</x:v>
      </x:c>
      <x:c r="K67" t="str">
        <x:v>Uch–Dera Murad Jamali area</x:v>
      </x:c>
      <x:c r="L67" s="22" t="n">
        <x:v>28.46</x:v>
      </x:c>
      <x:c r="M67" s="22" t="n">
        <x:v>68.31</x:v>
      </x:c>
      <x:c r="N67" t="str">
        <x:v>Regional locality</x:v>
      </x:c>
      <x:c r="O67"/>
      <x:c r="P67" t="str">
        <x:v>NGC</x:v>
      </x:c>
      <x:c r="Q67" t="n">
        <x:v>2031</x:v>
      </x:c>
      <x:c r="R67" t="str">
        <x:v>Uch</x:v>
      </x:c>
      <x:c r="S67" t="n">
        <x:v>124</x:v>
      </x:c>
      <x:c r="T67" t="str">
        <x:v>Annexure B-1(i)</x:v>
      </x:c>
      <x:c r="U67" t="n">
        <x:v>151</x:v>
      </x:c>
      <x:c r="V67" t="n">
        <x:v>96</x:v>
      </x:c>
      <x:c r="W67" t="str">
        <x:v>Plant coordinates are not provided in the IGCEP; plotted coordinates are indicative.</x:v>
      </x:c>
      <x:c r="X67" s="24" t="n">
        <x:v>67.9</x:v>
      </x:c>
      <x:c r="Y67" s="24" t="n">
        <x:v>38</x:v>
      </x:c>
      <x:c r="Z67" s="24" t="n">
        <x:v>38</x:v>
      </x:c>
      <x:c r="AA67" s="24" t="n">
        <x:v>38</x:v>
      </x:c>
      <x:c r="AB67" s="24" t="n">
        <x:v>9.5</x:v>
      </x:c>
      <x:c r="AC67" s="24" t="n">
        <x:v>0</x:v>
      </x:c>
      <x:c r="AD67" s="24" t="n">
        <x:v>0</x:v>
      </x:c>
      <x:c r="AE67" s="24" t="n">
        <x:v>0</x:v>
      </x:c>
      <x:c r="AF67" s="24" t="n">
        <x:v>0</x:v>
      </x:c>
    </x:row>
    <x:row r="68" ht="18" customHeight="1">
      <x:c r="A68" t="str">
        <x:v>B01-065</x:v>
      </x:c>
      <x:c r="B68" t="str">
        <x:v>Uch-II</x:v>
      </x:c>
      <x:c r="C68" t="str">
        <x:v>Existing (Nov 2024)</x:v>
      </x:c>
      <x:c r="D68" s="26" t="n">
        <x:v>2024</x:v>
      </x:c>
      <x:c r="E68" t="str">
        <x:v>Existing</x:v>
      </x:c>
      <x:c r="F68" t="str">
        <x:v>Gas</x:v>
      </x:c>
      <x:c r="G68" t="str">
        <x:v>Gas</x:v>
      </x:c>
      <x:c r="H68" s="20" t="n">
        <x:v>404</x:v>
      </x:c>
      <x:c r="I68" s="20" t="n">
        <x:v>355</x:v>
      </x:c>
      <x:c r="J68" t="str">
        <x:v>Balochistan</x:v>
      </x:c>
      <x:c r="K68" t="str">
        <x:v>Uch–Dera Murad Jamali area</x:v>
      </x:c>
      <x:c r="L68" s="22" t="n">
        <x:v>28.46</x:v>
      </x:c>
      <x:c r="M68" s="22" t="n">
        <x:v>68.31</x:v>
      </x:c>
      <x:c r="N68" t="str">
        <x:v>Regional locality</x:v>
      </x:c>
      <x:c r="O68"/>
      <x:c r="P68" t="str">
        <x:v>NGC</x:v>
      </x:c>
      <x:c r="Q68"/>
      <x:c r="R68" t="str">
        <x:v>Uch-II</x:v>
      </x:c>
      <x:c r="S68" t="n">
        <x:v>124</x:v>
      </x:c>
      <x:c r="T68" t="str">
        <x:v>Annexure B-1(i)</x:v>
      </x:c>
      <x:c r="U68" t="n">
        <x:v>151</x:v>
      </x:c>
      <x:c r="V68" t="n">
        <x:v>96</x:v>
      </x:c>
      <x:c r="W68" t="str">
        <x:v>Plant coordinates are not provided in the IGCEP; plotted coordinates are indicative.</x:v>
      </x:c>
      <x:c r="X68" s="24" t="n">
        <x:v>55.7</x:v>
      </x:c>
      <x:c r="Y68" s="24" t="n">
        <x:v>55.7</x:v>
      </x:c>
      <x:c r="Z68" s="24" t="n">
        <x:v>55.7</x:v>
      </x:c>
      <x:c r="AA68" s="24" t="n">
        <x:v>55.7</x:v>
      </x:c>
      <x:c r="AB68" s="24" t="n">
        <x:v>55.7</x:v>
      </x:c>
      <x:c r="AC68" s="24" t="n">
        <x:v>55.7</x:v>
      </x:c>
      <x:c r="AD68" s="24" t="n">
        <x:v>55.7</x:v>
      </x:c>
      <x:c r="AE68" s="24" t="n">
        <x:v>55.7</x:v>
      </x:c>
      <x:c r="AF68" s="24" t="n">
        <x:v>55.7</x:v>
      </x:c>
    </x:row>
    <x:row r="69" ht="18" customHeight="1">
      <x:c r="A69" t="str">
        <x:v>B01-066</x:v>
      </x:c>
      <x:c r="B69" t="str">
        <x:v>Lucky Coal</x:v>
      </x:c>
      <x:c r="C69" t="str">
        <x:v>Existing (Nov 2024)</x:v>
      </x:c>
      <x:c r="D69" s="26" t="n">
        <x:v>2024</x:v>
      </x:c>
      <x:c r="E69" t="str">
        <x:v>Existing</x:v>
      </x:c>
      <x:c r="F69" t="str">
        <x:v>Coal - Local</x:v>
      </x:c>
      <x:c r="G69" t="str">
        <x:v>Local Coal</x:v>
      </x:c>
      <x:c r="H69" s="20" t="n">
        <x:v>660</x:v>
      </x:c>
      <x:c r="I69" s="20" t="n">
        <x:v>607</x:v>
      </x:c>
      <x:c r="J69" t="str">
        <x:v>Sindh</x:v>
      </x:c>
      <x:c r="K69" t="str">
        <x:v>Port Qasim–Karachi</x:v>
      </x:c>
      <x:c r="L69" s="22" t="n">
        <x:v>24.77</x:v>
      </x:c>
      <x:c r="M69" s="22" t="n">
        <x:v>67.36</x:v>
      </x:c>
      <x:c r="N69" t="str">
        <x:v>Site vicinity</x:v>
      </x:c>
      <x:c r="O69"/>
      <x:c r="P69" t="str">
        <x:v>NGC</x:v>
      </x:c>
      <x:c r="Q69"/>
      <x:c r="R69"/>
      <x:c r="S69"/>
      <x:c r="T69" t="str">
        <x:v>Annexure B-1(i)</x:v>
      </x:c>
      <x:c r="U69" t="n">
        <x:v>151</x:v>
      </x:c>
      <x:c r="V69" t="n">
        <x:v>96</x:v>
      </x:c>
      <x:c r="W69" t="str">
        <x:v>Plant coordinates are not provided in the IGCEP; plotted coordinates are indicative.</x:v>
      </x:c>
      <x:c r="X69" s="24"/>
      <x:c r="Y69" s="24"/>
      <x:c r="Z69" s="24"/>
      <x:c r="AA69" s="24"/>
      <x:c r="AB69" s="24"/>
      <x:c r="AC69" s="24"/>
      <x:c r="AD69" s="24"/>
      <x:c r="AE69" s="24"/>
      <x:c r="AF69" s="24"/>
    </x:row>
    <x:row r="70" ht="18" customHeight="1">
      <x:c r="A70" t="str">
        <x:v>B01-067</x:v>
      </x:c>
      <x:c r="B70" t="str">
        <x:v>Thal Nova</x:v>
      </x:c>
      <x:c r="C70" t="str">
        <x:v>Existing (Nov 2024)</x:v>
      </x:c>
      <x:c r="D70" s="26" t="n">
        <x:v>2024</x:v>
      </x:c>
      <x:c r="E70" t="str">
        <x:v>Existing</x:v>
      </x:c>
      <x:c r="F70" t="str">
        <x:v>Coal - Local</x:v>
      </x:c>
      <x:c r="G70" t="str">
        <x:v>Local Coal</x:v>
      </x:c>
      <x:c r="H70" s="20" t="n">
        <x:v>330</x:v>
      </x:c>
      <x:c r="I70" s="20" t="n">
        <x:v>301</x:v>
      </x:c>
      <x:c r="J70" t="str">
        <x:v>Sindh</x:v>
      </x:c>
      <x:c r="K70" t="str">
        <x:v>Thar coalfield</x:v>
      </x:c>
      <x:c r="L70" s="22" t="n">
        <x:v>24.64</x:v>
      </x:c>
      <x:c r="M70" s="22" t="n">
        <x:v>70.22</x:v>
      </x:c>
      <x:c r="N70" t="str">
        <x:v>Cluster proxy</x:v>
      </x:c>
      <x:c r="O70"/>
      <x:c r="P70" t="str">
        <x:v>NGC</x:v>
      </x:c>
      <x:c r="Q70"/>
      <x:c r="R70" t="str">
        <x:v>Thal Nova</x:v>
      </x:c>
      <x:c r="S70" t="n">
        <x:v>125</x:v>
      </x:c>
      <x:c r="T70" t="str">
        <x:v>Annexure B-1(i)</x:v>
      </x:c>
      <x:c r="U70" t="n">
        <x:v>151</x:v>
      </x:c>
      <x:c r="V70" t="n">
        <x:v>96</x:v>
      </x:c>
      <x:c r="W70" t="str">
        <x:v>Group marker is a geographical cluster proxy, not the plant’s exact site.</x:v>
      </x:c>
      <x:c r="X70" s="24" t="n">
        <x:v>84.54</x:v>
      </x:c>
      <x:c r="Y70" s="24" t="n">
        <x:v>81.22</x:v>
      </x:c>
      <x:c r="Z70" s="24" t="n">
        <x:v>81.23</x:v>
      </x:c>
      <x:c r="AA70" s="24" t="n">
        <x:v>79.92</x:v>
      </x:c>
      <x:c r="AB70" s="24" t="n">
        <x:v>79.66</x:v>
      </x:c>
      <x:c r="AC70" s="24" t="n">
        <x:v>77.41</x:v>
      </x:c>
      <x:c r="AD70" s="24" t="n">
        <x:v>65.26</x:v>
      </x:c>
      <x:c r="AE70" s="24" t="n">
        <x:v>34.99</x:v>
      </x:c>
      <x:c r="AF70" s="24" t="n">
        <x:v>32.02</x:v>
      </x:c>
    </x:row>
    <x:row r="71" ht="18" customHeight="1">
      <x:c r="A71" t="str">
        <x:v>B01-068</x:v>
      </x:c>
      <x:c r="B71" t="str">
        <x:v>Thar TEL</x:v>
      </x:c>
      <x:c r="C71" t="str">
        <x:v>Existing (Nov 2024)</x:v>
      </x:c>
      <x:c r="D71" s="26" t="n">
        <x:v>2024</x:v>
      </x:c>
      <x:c r="E71" t="str">
        <x:v>Existing</x:v>
      </x:c>
      <x:c r="F71" t="str">
        <x:v>Coal - Local</x:v>
      </x:c>
      <x:c r="G71" t="str">
        <x:v>Local Coal</x:v>
      </x:c>
      <x:c r="H71" s="20" t="n">
        <x:v>330</x:v>
      </x:c>
      <x:c r="I71" s="20" t="n">
        <x:v>301</x:v>
      </x:c>
      <x:c r="J71" t="str">
        <x:v>Sindh</x:v>
      </x:c>
      <x:c r="K71" t="str">
        <x:v>Thar coalfield</x:v>
      </x:c>
      <x:c r="L71" s="22" t="n">
        <x:v>24.64</x:v>
      </x:c>
      <x:c r="M71" s="22" t="n">
        <x:v>70.22</x:v>
      </x:c>
      <x:c r="N71" t="str">
        <x:v>Cluster proxy</x:v>
      </x:c>
      <x:c r="O71"/>
      <x:c r="P71" t="str">
        <x:v>NGC</x:v>
      </x:c>
      <x:c r="Q71"/>
      <x:c r="R71" t="str">
        <x:v>Thar TEL</x:v>
      </x:c>
      <x:c r="S71" t="n">
        <x:v>125</x:v>
      </x:c>
      <x:c r="T71" t="str">
        <x:v>Annexure B-1(i)</x:v>
      </x:c>
      <x:c r="U71" t="n">
        <x:v>151</x:v>
      </x:c>
      <x:c r="V71" t="n">
        <x:v>96</x:v>
      </x:c>
      <x:c r="W71" t="str">
        <x:v>Group marker is a geographical cluster proxy, not the plant’s exact site.</x:v>
      </x:c>
      <x:c r="X71" s="24" t="n">
        <x:v>84.49</x:v>
      </x:c>
      <x:c r="Y71" s="24" t="n">
        <x:v>81.21</x:v>
      </x:c>
      <x:c r="Z71" s="24" t="n">
        <x:v>81.23</x:v>
      </x:c>
      <x:c r="AA71" s="24" t="n">
        <x:v>80.08</x:v>
      </x:c>
      <x:c r="AB71" s="24" t="n">
        <x:v>79.9</x:v>
      </x:c>
      <x:c r="AC71" s="24" t="n">
        <x:v>77.55</x:v>
      </x:c>
      <x:c r="AD71" s="24" t="n">
        <x:v>65.19</x:v>
      </x:c>
      <x:c r="AE71" s="24" t="n">
        <x:v>38.14</x:v>
      </x:c>
      <x:c r="AF71" s="24" t="n">
        <x:v>36.41</x:v>
      </x:c>
    </x:row>
    <x:row r="72" ht="18" customHeight="1">
      <x:c r="A72" t="str">
        <x:v>B01-069</x:v>
      </x:c>
      <x:c r="B72" t="str">
        <x:v>Thar-I (SSRL)</x:v>
      </x:c>
      <x:c r="C72" t="str">
        <x:v>Existing (Nov 2024)</x:v>
      </x:c>
      <x:c r="D72" s="26" t="n">
        <x:v>2024</x:v>
      </x:c>
      <x:c r="E72" t="str">
        <x:v>Existing</x:v>
      </x:c>
      <x:c r="F72" t="str">
        <x:v>Coal - Local</x:v>
      </x:c>
      <x:c r="G72" t="str">
        <x:v>Local Coal</x:v>
      </x:c>
      <x:c r="H72" s="20" t="n">
        <x:v>1320</x:v>
      </x:c>
      <x:c r="I72" s="20" t="n">
        <x:v>1214</x:v>
      </x:c>
      <x:c r="J72" t="str">
        <x:v>Sindh</x:v>
      </x:c>
      <x:c r="K72" t="str">
        <x:v>Thar coalfield</x:v>
      </x:c>
      <x:c r="L72" s="22" t="n">
        <x:v>24.64</x:v>
      </x:c>
      <x:c r="M72" s="22" t="n">
        <x:v>70.22</x:v>
      </x:c>
      <x:c r="N72" t="str">
        <x:v>Cluster proxy</x:v>
      </x:c>
      <x:c r="O72"/>
      <x:c r="P72" t="str">
        <x:v>NGC</x:v>
      </x:c>
      <x:c r="Q72"/>
      <x:c r="R72" t="str">
        <x:v>Thar-I (SSRL)</x:v>
      </x:c>
      <x:c r="S72" t="n">
        <x:v>125</x:v>
      </x:c>
      <x:c r="T72" t="str">
        <x:v>Annexure B-1(i)</x:v>
      </x:c>
      <x:c r="U72" t="n">
        <x:v>151</x:v>
      </x:c>
      <x:c r="V72" t="n">
        <x:v>96</x:v>
      </x:c>
      <x:c r="W72" t="str">
        <x:v>Group marker is a geographical cluster proxy, not the plant’s exact site.</x:v>
      </x:c>
      <x:c r="X72" s="24" t="n">
        <x:v>84.92</x:v>
      </x:c>
      <x:c r="Y72" s="24" t="n">
        <x:v>74.55</x:v>
      </x:c>
      <x:c r="Z72" s="24" t="n">
        <x:v>78.11</x:v>
      </x:c>
      <x:c r="AA72" s="24" t="n">
        <x:v>77.95</x:v>
      </x:c>
      <x:c r="AB72" s="24" t="n">
        <x:v>76.55</x:v>
      </x:c>
      <x:c r="AC72" s="24" t="n">
        <x:v>71.23</x:v>
      </x:c>
      <x:c r="AD72" s="24" t="n">
        <x:v>54.4</x:v>
      </x:c>
      <x:c r="AE72" s="24" t="n">
        <x:v>62.64</x:v>
      </x:c>
      <x:c r="AF72" s="24" t="n">
        <x:v>62.77</x:v>
      </x:c>
    </x:row>
    <x:row r="73" ht="18" customHeight="1">
      <x:c r="A73" t="str">
        <x:v>B01-070</x:v>
      </x:c>
      <x:c r="B73" t="str">
        <x:v>Shahtaj</x:v>
      </x:c>
      <x:c r="C73" t="str">
        <x:v>Existing (Nov 2024)</x:v>
      </x:c>
      <x:c r="D73" s="26" t="n">
        <x:v>2024</x:v>
      </x:c>
      <x:c r="E73" t="str">
        <x:v>Existing</x:v>
      </x:c>
      <x:c r="F73" t="str">
        <x:v>Bagasse</x:v>
      </x:c>
      <x:c r="G73" t="str">
        <x:v>Bagasse</x:v>
      </x:c>
      <x:c r="H73" s="20" t="n">
        <x:v>32</x:v>
      </x:c>
      <x:c r="I73" s="20" t="n">
        <x:v>32</x:v>
      </x:c>
      <x:c r="J73" t="str">
        <x:v>Punjab</x:v>
      </x:c>
      <x:c r="K73"/>
      <x:c r="L73" s="22"/>
      <x:c r="M73" s="22"/>
      <x:c r="N73" t="str">
        <x:v>Not located in IGCEP</x:v>
      </x:c>
      <x:c r="O73"/>
      <x:c r="P73" t="str">
        <x:v>NGC</x:v>
      </x:c>
      <x:c r="Q73"/>
      <x:c r="R73" t="str">
        <x:v>Shahtaj</x:v>
      </x:c>
      <x:c r="S73" t="n">
        <x:v>121</x:v>
      </x:c>
      <x:c r="T73" t="str">
        <x:v>Annexure B-1(i)</x:v>
      </x:c>
      <x:c r="U73" t="n">
        <x:v>151</x:v>
      </x:c>
      <x:c r="V73" t="n">
        <x:v>96</x:v>
      </x:c>
      <x:c r="W73" t="str">
        <x:v>Region inferred from project/agency context; site not geocoded.</x:v>
      </x:c>
      <x:c r="X73" s="24" t="n">
        <x:v>32.64</x:v>
      </x:c>
      <x:c r="Y73" s="24" t="n">
        <x:v>32.75</x:v>
      </x:c>
      <x:c r="Z73" s="24" t="n">
        <x:v>32.64</x:v>
      </x:c>
      <x:c r="AA73" s="24" t="n">
        <x:v>32.64</x:v>
      </x:c>
      <x:c r="AB73" s="24" t="n">
        <x:v>32.64</x:v>
      </x:c>
      <x:c r="AC73" s="24" t="n">
        <x:v>32.75</x:v>
      </x:c>
      <x:c r="AD73" s="24" t="n">
        <x:v>32.64</x:v>
      </x:c>
      <x:c r="AE73" s="24" t="n">
        <x:v>32.64</x:v>
      </x:c>
      <x:c r="AF73" s="24" t="n">
        <x:v>32.64</x:v>
      </x:c>
    </x:row>
    <x:row r="74" ht="18" customHeight="1">
      <x:c r="A74" t="str">
        <x:v>B01-071</x:v>
      </x:c>
      <x:c r="B74" t="str">
        <x:v>Almoiz</x:v>
      </x:c>
      <x:c r="C74" t="str">
        <x:v>Existing (Nov 2024)</x:v>
      </x:c>
      <x:c r="D74" s="26" t="n">
        <x:v>2024</x:v>
      </x:c>
      <x:c r="E74" t="str">
        <x:v>Existing</x:v>
      </x:c>
      <x:c r="F74" t="str">
        <x:v>Bagasse</x:v>
      </x:c>
      <x:c r="G74" t="str">
        <x:v>Bagasse</x:v>
      </x:c>
      <x:c r="H74" s="20" t="n">
        <x:v>36</x:v>
      </x:c>
      <x:c r="I74" s="20" t="n">
        <x:v>36</x:v>
      </x:c>
      <x:c r="J74" t="str">
        <x:v>Punjab</x:v>
      </x:c>
      <x:c r="K74"/>
      <x:c r="L74" s="22"/>
      <x:c r="M74" s="22"/>
      <x:c r="N74" t="str">
        <x:v>Not located in IGCEP</x:v>
      </x:c>
      <x:c r="O74"/>
      <x:c r="P74" t="str">
        <x:v>NGC</x:v>
      </x:c>
      <x:c r="Q74"/>
      <x:c r="R74" t="str">
        <x:v>Almoiz</x:v>
      </x:c>
      <x:c r="S74" t="n">
        <x:v>121</x:v>
      </x:c>
      <x:c r="T74" t="str">
        <x:v>Annexure B-1(i)</x:v>
      </x:c>
      <x:c r="U74" t="n">
        <x:v>151</x:v>
      </x:c>
      <x:c r="V74" t="n">
        <x:v>96</x:v>
      </x:c>
      <x:c r="W74" t="str">
        <x:v>Region inferred from project/agency context; site not geocoded.</x:v>
      </x:c>
      <x:c r="X74" s="24" t="n">
        <x:v>26.17</x:v>
      </x:c>
      <x:c r="Y74" s="24" t="n">
        <x:v>26.25</x:v>
      </x:c>
      <x:c r="Z74" s="24" t="n">
        <x:v>26.17</x:v>
      </x:c>
      <x:c r="AA74" s="24" t="n">
        <x:v>26.17</x:v>
      </x:c>
      <x:c r="AB74" s="24" t="n">
        <x:v>26.17</x:v>
      </x:c>
      <x:c r="AC74" s="24" t="n">
        <x:v>26.25</x:v>
      </x:c>
      <x:c r="AD74" s="24" t="n">
        <x:v>26.17</x:v>
      </x:c>
      <x:c r="AE74" s="24" t="n">
        <x:v>26.17</x:v>
      </x:c>
      <x:c r="AF74" s="24" t="n">
        <x:v>26.17</x:v>
      </x:c>
    </x:row>
    <x:row r="75" ht="18" customHeight="1">
      <x:c r="A75" t="str">
        <x:v>B01-072</x:v>
      </x:c>
      <x:c r="B75" t="str">
        <x:v>Chanar</x:v>
      </x:c>
      <x:c r="C75" t="str">
        <x:v>Existing (Nov 2024)</x:v>
      </x:c>
      <x:c r="D75" s="26" t="n">
        <x:v>2024</x:v>
      </x:c>
      <x:c r="E75" t="str">
        <x:v>Existing</x:v>
      </x:c>
      <x:c r="F75" t="str">
        <x:v>Bagasse</x:v>
      </x:c>
      <x:c r="G75" t="str">
        <x:v>Bagasse</x:v>
      </x:c>
      <x:c r="H75" s="20" t="n">
        <x:v>26</x:v>
      </x:c>
      <x:c r="I75" s="20" t="n">
        <x:v>21</x:v>
      </x:c>
      <x:c r="J75" t="str">
        <x:v>Punjab</x:v>
      </x:c>
      <x:c r="K75"/>
      <x:c r="L75" s="22"/>
      <x:c r="M75" s="22"/>
      <x:c r="N75" t="str">
        <x:v>Not located in IGCEP</x:v>
      </x:c>
      <x:c r="O75"/>
      <x:c r="P75" t="str">
        <x:v>NGC</x:v>
      </x:c>
      <x:c r="Q75"/>
      <x:c r="R75" t="str">
        <x:v>Chanar</x:v>
      </x:c>
      <x:c r="S75" t="n">
        <x:v>121</x:v>
      </x:c>
      <x:c r="T75" t="str">
        <x:v>Annexure B-1(i)</x:v>
      </x:c>
      <x:c r="U75" t="n">
        <x:v>151</x:v>
      </x:c>
      <x:c r="V75" t="n">
        <x:v>96</x:v>
      </x:c>
      <x:c r="W75" t="str">
        <x:v>Region inferred from project/agency context; site not geocoded.</x:v>
      </x:c>
      <x:c r="X75" s="24" t="n">
        <x:v>35.97</x:v>
      </x:c>
      <x:c r="Y75" s="24" t="n">
        <x:v>36.09</x:v>
      </x:c>
      <x:c r="Z75" s="24" t="n">
        <x:v>35.97</x:v>
      </x:c>
      <x:c r="AA75" s="24" t="n">
        <x:v>35.97</x:v>
      </x:c>
      <x:c r="AB75" s="24" t="n">
        <x:v>35.97</x:v>
      </x:c>
      <x:c r="AC75" s="24" t="n">
        <x:v>36.09</x:v>
      </x:c>
      <x:c r="AD75" s="24" t="n">
        <x:v>35.97</x:v>
      </x:c>
      <x:c r="AE75" s="24" t="n">
        <x:v>35.97</x:v>
      </x:c>
      <x:c r="AF75" s="24" t="n">
        <x:v>35.97</x:v>
      </x:c>
    </x:row>
    <x:row r="76" ht="18" customHeight="1">
      <x:c r="A76" t="str">
        <x:v>B01-073</x:v>
      </x:c>
      <x:c r="B76" t="str">
        <x:v>Chiniot</x:v>
      </x:c>
      <x:c r="C76" t="str">
        <x:v>Existing (Nov 2024)</x:v>
      </x:c>
      <x:c r="D76" s="26" t="n">
        <x:v>2024</x:v>
      </x:c>
      <x:c r="E76" t="str">
        <x:v>Existing</x:v>
      </x:c>
      <x:c r="F76" t="str">
        <x:v>Bagasse</x:v>
      </x:c>
      <x:c r="G76" t="str">
        <x:v>Bagasse</x:v>
      </x:c>
      <x:c r="H76" s="20" t="n">
        <x:v>63</x:v>
      </x:c>
      <x:c r="I76" s="20" t="n">
        <x:v>63</x:v>
      </x:c>
      <x:c r="J76" t="str">
        <x:v>Punjab</x:v>
      </x:c>
      <x:c r="K76" t="str">
        <x:v>Chiniot</x:v>
      </x:c>
      <x:c r="L76" s="22" t="n">
        <x:v>31.72</x:v>
      </x:c>
      <x:c r="M76" s="22" t="n">
        <x:v>72.98</x:v>
      </x:c>
      <x:c r="N76" t="str">
        <x:v>Regional locality</x:v>
      </x:c>
      <x:c r="O76"/>
      <x:c r="P76" t="str">
        <x:v>NGC</x:v>
      </x:c>
      <x:c r="Q76"/>
      <x:c r="R76" t="str">
        <x:v>Chiniot</x:v>
      </x:c>
      <x:c r="S76" t="n">
        <x:v>121</x:v>
      </x:c>
      <x:c r="T76" t="str">
        <x:v>Annexure B-1(i)</x:v>
      </x:c>
      <x:c r="U76" t="n">
        <x:v>151</x:v>
      </x:c>
      <x:c r="V76" t="n">
        <x:v>96</x:v>
      </x:c>
      <x:c r="W76" t="str">
        <x:v>Plant coordinates are not provided in the IGCEP; plotted coordinates are indicative.</x:v>
      </x:c>
      <x:c r="X76" s="24" t="n">
        <x:v>41.44</x:v>
      </x:c>
      <x:c r="Y76" s="24" t="n">
        <x:v>41.58</x:v>
      </x:c>
      <x:c r="Z76" s="24" t="n">
        <x:v>41.44</x:v>
      </x:c>
      <x:c r="AA76" s="24" t="n">
        <x:v>41.44</x:v>
      </x:c>
      <x:c r="AB76" s="24" t="n">
        <x:v>41.44</x:v>
      </x:c>
      <x:c r="AC76" s="24" t="n">
        <x:v>41.58</x:v>
      </x:c>
      <x:c r="AD76" s="24" t="n">
        <x:v>41.44</x:v>
      </x:c>
      <x:c r="AE76" s="24" t="n">
        <x:v>41.44</x:v>
      </x:c>
      <x:c r="AF76" s="24" t="n">
        <x:v>41.44</x:v>
      </x:c>
    </x:row>
    <x:row r="77" ht="18" customHeight="1">
      <x:c r="A77" t="str">
        <x:v>B01-074</x:v>
      </x:c>
      <x:c r="B77" t="str">
        <x:v>Fatima Energy (FEL)</x:v>
      </x:c>
      <x:c r="C77" t="str">
        <x:v>Existing (Nov 2024)</x:v>
      </x:c>
      <x:c r="D77" s="26" t="n">
        <x:v>2024</x:v>
      </x:c>
      <x:c r="E77" t="str">
        <x:v>Existing</x:v>
      </x:c>
      <x:c r="F77" t="str">
        <x:v>Bagasse</x:v>
      </x:c>
      <x:c r="G77" t="str">
        <x:v>Bagasse</x:v>
      </x:c>
      <x:c r="H77" s="20" t="n">
        <x:v>120</x:v>
      </x:c>
      <x:c r="I77" s="20" t="n">
        <x:v>108</x:v>
      </x:c>
      <x:c r="J77" t="str">
        <x:v>Punjab</x:v>
      </x:c>
      <x:c r="K77"/>
      <x:c r="L77" s="22"/>
      <x:c r="M77" s="22"/>
      <x:c r="N77" t="str">
        <x:v>Not located in IGCEP</x:v>
      </x:c>
      <x:c r="O77"/>
      <x:c r="P77" t="str">
        <x:v>NGC</x:v>
      </x:c>
      <x:c r="Q77"/>
      <x:c r="R77"/>
      <x:c r="S77"/>
      <x:c r="T77" t="str">
        <x:v>Annexure B-1(i)</x:v>
      </x:c>
      <x:c r="U77" t="n">
        <x:v>151</x:v>
      </x:c>
      <x:c r="V77" t="n">
        <x:v>96</x:v>
      </x:c>
      <x:c r="W77" t="str">
        <x:v>Region inferred from project/agency context; site not geocoded.</x:v>
      </x:c>
      <x:c r="X77" s="24"/>
      <x:c r="Y77" s="24"/>
      <x:c r="Z77" s="24"/>
      <x:c r="AA77" s="24"/>
      <x:c r="AB77" s="24"/>
      <x:c r="AC77" s="24"/>
      <x:c r="AD77" s="24"/>
      <x:c r="AE77" s="24"/>
      <x:c r="AF77" s="24"/>
    </x:row>
    <x:row r="78" ht="18" customHeight="1">
      <x:c r="A78" t="str">
        <x:v>B01-075</x:v>
      </x:c>
      <x:c r="B78" t="str">
        <x:v>Hamza</x:v>
      </x:c>
      <x:c r="C78" t="str">
        <x:v>Existing (Nov 2024)</x:v>
      </x:c>
      <x:c r="D78" s="26" t="n">
        <x:v>2024</x:v>
      </x:c>
      <x:c r="E78" t="str">
        <x:v>Existing</x:v>
      </x:c>
      <x:c r="F78" t="str">
        <x:v>Bagasse</x:v>
      </x:c>
      <x:c r="G78" t="str">
        <x:v>Bagasse</x:v>
      </x:c>
      <x:c r="H78" s="20" t="n">
        <x:v>15</x:v>
      </x:c>
      <x:c r="I78" s="20" t="n">
        <x:v>15</x:v>
      </x:c>
      <x:c r="J78" t="str">
        <x:v>Punjab</x:v>
      </x:c>
      <x:c r="K78"/>
      <x:c r="L78" s="22"/>
      <x:c r="M78" s="22"/>
      <x:c r="N78" t="str">
        <x:v>Not located in IGCEP</x:v>
      </x:c>
      <x:c r="O78"/>
      <x:c r="P78" t="str">
        <x:v>NGC</x:v>
      </x:c>
      <x:c r="Q78"/>
      <x:c r="R78" t="str">
        <x:v>Hamza</x:v>
      </x:c>
      <x:c r="S78" t="n">
        <x:v>121</x:v>
      </x:c>
      <x:c r="T78" t="str">
        <x:v>Annexure B-1(i)</x:v>
      </x:c>
      <x:c r="U78" t="n">
        <x:v>151</x:v>
      </x:c>
      <x:c r="V78" t="n">
        <x:v>96</x:v>
      </x:c>
      <x:c r="W78" t="str">
        <x:v>Region inferred from project/agency context; site not geocoded.</x:v>
      </x:c>
      <x:c r="X78" s="24" t="n">
        <x:v>41.63</x:v>
      </x:c>
      <x:c r="Y78" s="24" t="n">
        <x:v>41.77</x:v>
      </x:c>
      <x:c r="Z78" s="24" t="n">
        <x:v>41.63</x:v>
      </x:c>
      <x:c r="AA78" s="24" t="n">
        <x:v>41.63</x:v>
      </x:c>
      <x:c r="AB78" s="24" t="n">
        <x:v>41.63</x:v>
      </x:c>
      <x:c r="AC78" s="24" t="n">
        <x:v>41.77</x:v>
      </x:c>
      <x:c r="AD78" s="24" t="n">
        <x:v>41.63</x:v>
      </x:c>
      <x:c r="AE78" s="24" t="n">
        <x:v>41.63</x:v>
      </x:c>
      <x:c r="AF78" s="24" t="n">
        <x:v>41.63</x:v>
      </x:c>
    </x:row>
    <x:row r="79" ht="18" customHeight="1">
      <x:c r="A79" t="str">
        <x:v>B01-076</x:v>
      </x:c>
      <x:c r="B79" t="str">
        <x:v>JDW - II</x:v>
      </x:c>
      <x:c r="C79" t="str">
        <x:v>Existing (Nov 2024)</x:v>
      </x:c>
      <x:c r="D79" s="26" t="n">
        <x:v>2024</x:v>
      </x:c>
      <x:c r="E79" t="str">
        <x:v>Existing</x:v>
      </x:c>
      <x:c r="F79" t="str">
        <x:v>Bagasse</x:v>
      </x:c>
      <x:c r="G79" t="str">
        <x:v>Bagasse</x:v>
      </x:c>
      <x:c r="H79" s="20" t="n">
        <x:v>26</x:v>
      </x:c>
      <x:c r="I79" s="20" t="n">
        <x:v>25</x:v>
      </x:c>
      <x:c r="J79" t="str">
        <x:v>Punjab</x:v>
      </x:c>
      <x:c r="K79"/>
      <x:c r="L79" s="22"/>
      <x:c r="M79" s="22"/>
      <x:c r="N79" t="str">
        <x:v>Not located in IGCEP</x:v>
      </x:c>
      <x:c r="O79"/>
      <x:c r="P79" t="str">
        <x:v>NGC</x:v>
      </x:c>
      <x:c r="Q79"/>
      <x:c r="R79" t="str">
        <x:v>JDW-II</x:v>
      </x:c>
      <x:c r="S79" t="n">
        <x:v>121</x:v>
      </x:c>
      <x:c r="T79" t="str">
        <x:v>Annexure B-1(i)</x:v>
      </x:c>
      <x:c r="U79" t="n">
        <x:v>151</x:v>
      </x:c>
      <x:c r="V79" t="n">
        <x:v>96</x:v>
      </x:c>
      <x:c r="W79" t="str">
        <x:v>Region inferred from project/agency context; site not geocoded.</x:v>
      </x:c>
      <x:c r="X79" s="24" t="n">
        <x:v>42.19</x:v>
      </x:c>
      <x:c r="Y79" s="24" t="n">
        <x:v>42.33</x:v>
      </x:c>
      <x:c r="Z79" s="24" t="n">
        <x:v>42.19</x:v>
      </x:c>
      <x:c r="AA79" s="24" t="n">
        <x:v>42.19</x:v>
      </x:c>
      <x:c r="AB79" s="24" t="n">
        <x:v>42.19</x:v>
      </x:c>
      <x:c r="AC79" s="24" t="n">
        <x:v>42.33</x:v>
      </x:c>
      <x:c r="AD79" s="24" t="n">
        <x:v>42.19</x:v>
      </x:c>
      <x:c r="AE79" s="24" t="n">
        <x:v>42.19</x:v>
      </x:c>
      <x:c r="AF79" s="24" t="n">
        <x:v>42.19</x:v>
      </x:c>
    </x:row>
    <x:row r="80" ht="18" customHeight="1">
      <x:c r="A80" t="str">
        <x:v>B01-077</x:v>
      </x:c>
      <x:c r="B80" t="str">
        <x:v>JDW - III</x:v>
      </x:c>
      <x:c r="C80" t="str">
        <x:v>Existing (Nov 2024)</x:v>
      </x:c>
      <x:c r="D80" s="26" t="n">
        <x:v>2024</x:v>
      </x:c>
      <x:c r="E80" t="str">
        <x:v>Existing</x:v>
      </x:c>
      <x:c r="F80" t="str">
        <x:v>Bagasse</x:v>
      </x:c>
      <x:c r="G80" t="str">
        <x:v>Bagasse</x:v>
      </x:c>
      <x:c r="H80" s="20" t="n">
        <x:v>27</x:v>
      </x:c>
      <x:c r="I80" s="20" t="n">
        <x:v>26</x:v>
      </x:c>
      <x:c r="J80" t="str">
        <x:v>Punjab</x:v>
      </x:c>
      <x:c r="K80"/>
      <x:c r="L80" s="22"/>
      <x:c r="M80" s="22"/>
      <x:c r="N80" t="str">
        <x:v>Not located in IGCEP</x:v>
      </x:c>
      <x:c r="O80"/>
      <x:c r="P80" t="str">
        <x:v>NGC</x:v>
      </x:c>
      <x:c r="Q80"/>
      <x:c r="R80" t="str">
        <x:v>JDW-III</x:v>
      </x:c>
      <x:c r="S80" t="n">
        <x:v>121</x:v>
      </x:c>
      <x:c r="T80" t="str">
        <x:v>Annexure B-1(i)</x:v>
      </x:c>
      <x:c r="U80" t="n">
        <x:v>151</x:v>
      </x:c>
      <x:c r="V80" t="n">
        <x:v>96</x:v>
      </x:c>
      <x:c r="W80" t="str">
        <x:v>Region inferred from project/agency context; site not geocoded.</x:v>
      </x:c>
      <x:c r="X80" s="24" t="n">
        <x:v>42.26</x:v>
      </x:c>
      <x:c r="Y80" s="24" t="n">
        <x:v>42.4</x:v>
      </x:c>
      <x:c r="Z80" s="24" t="n">
        <x:v>42.26</x:v>
      </x:c>
      <x:c r="AA80" s="24" t="n">
        <x:v>42.26</x:v>
      </x:c>
      <x:c r="AB80" s="24" t="n">
        <x:v>42.26</x:v>
      </x:c>
      <x:c r="AC80" s="24" t="n">
        <x:v>42.4</x:v>
      </x:c>
      <x:c r="AD80" s="24" t="n">
        <x:v>42.26</x:v>
      </x:c>
      <x:c r="AE80" s="24" t="n">
        <x:v>42.26</x:v>
      </x:c>
      <x:c r="AF80" s="24" t="n">
        <x:v>42.26</x:v>
      </x:c>
    </x:row>
    <x:row r="81" ht="18" customHeight="1">
      <x:c r="A81" t="str">
        <x:v>B01-078</x:v>
      </x:c>
      <x:c r="B81" t="str">
        <x:v>Ryk_Mills</x:v>
      </x:c>
      <x:c r="C81" t="str">
        <x:v>Existing (Nov 2024)</x:v>
      </x:c>
      <x:c r="D81" s="26" t="n">
        <x:v>2024</x:v>
      </x:c>
      <x:c r="E81" t="str">
        <x:v>Existing</x:v>
      </x:c>
      <x:c r="F81" t="str">
        <x:v>Bagasse</x:v>
      </x:c>
      <x:c r="G81" t="str">
        <x:v>Bagasse</x:v>
      </x:c>
      <x:c r="H81" s="20" t="n">
        <x:v>30</x:v>
      </x:c>
      <x:c r="I81" s="20" t="n">
        <x:v>30</x:v>
      </x:c>
      <x:c r="J81" t="str">
        <x:v>Punjab</x:v>
      </x:c>
      <x:c r="K81" t="str">
        <x:v>Rahim Yar Khan</x:v>
      </x:c>
      <x:c r="L81" s="22" t="n">
        <x:v>28.43</x:v>
      </x:c>
      <x:c r="M81" s="22" t="n">
        <x:v>70.3</x:v>
      </x:c>
      <x:c r="N81" t="str">
        <x:v>Regional locality</x:v>
      </x:c>
      <x:c r="O81"/>
      <x:c r="P81" t="str">
        <x:v>NGC</x:v>
      </x:c>
      <x:c r="Q81"/>
      <x:c r="R81" t="str">
        <x:v>Ryk_Mills</x:v>
      </x:c>
      <x:c r="S81" t="n">
        <x:v>121</x:v>
      </x:c>
      <x:c r="T81" t="str">
        <x:v>Annexure B-1(i)</x:v>
      </x:c>
      <x:c r="U81" t="n">
        <x:v>151</x:v>
      </x:c>
      <x:c r="V81" t="n">
        <x:v>96</x:v>
      </x:c>
      <x:c r="W81" t="str">
        <x:v>Plant coordinates are not provided in the IGCEP; plotted coordinates are indicative.</x:v>
      </x:c>
      <x:c r="X81" s="24" t="n">
        <x:v>31.52</x:v>
      </x:c>
      <x:c r="Y81" s="24" t="n">
        <x:v>31.62</x:v>
      </x:c>
      <x:c r="Z81" s="24" t="n">
        <x:v>31.52</x:v>
      </x:c>
      <x:c r="AA81" s="24" t="n">
        <x:v>31.52</x:v>
      </x:c>
      <x:c r="AB81" s="24" t="n">
        <x:v>31.52</x:v>
      </x:c>
      <x:c r="AC81" s="24" t="n">
        <x:v>31.62</x:v>
      </x:c>
      <x:c r="AD81" s="24" t="n">
        <x:v>31.52</x:v>
      </x:c>
      <x:c r="AE81" s="24" t="n">
        <x:v>31.52</x:v>
      </x:c>
      <x:c r="AF81" s="24" t="n">
        <x:v>31.52</x:v>
      </x:c>
    </x:row>
    <x:row r="82" ht="18" customHeight="1">
      <x:c r="A82" t="str">
        <x:v>B01-079</x:v>
      </x:c>
      <x:c r="B82" t="str">
        <x:v>Thal_Layyah</x:v>
      </x:c>
      <x:c r="C82" t="str">
        <x:v>Existing (Nov 2024)</x:v>
      </x:c>
      <x:c r="D82" s="26" t="n">
        <x:v>2024</x:v>
      </x:c>
      <x:c r="E82" t="str">
        <x:v>Existing</x:v>
      </x:c>
      <x:c r="F82" t="str">
        <x:v>Bagasse</x:v>
      </x:c>
      <x:c r="G82" t="str">
        <x:v>Bagasse</x:v>
      </x:c>
      <x:c r="H82" s="20" t="n">
        <x:v>25</x:v>
      </x:c>
      <x:c r="I82" s="20" t="n">
        <x:v>24</x:v>
      </x:c>
      <x:c r="J82" t="str">
        <x:v>Punjab</x:v>
      </x:c>
      <x:c r="K82" t="str">
        <x:v>Layyah</x:v>
      </x:c>
      <x:c r="L82" s="22" t="n">
        <x:v>30.97</x:v>
      </x:c>
      <x:c r="M82" s="22" t="n">
        <x:v>70.95</x:v>
      </x:c>
      <x:c r="N82" t="str">
        <x:v>Regional locality</x:v>
      </x:c>
      <x:c r="O82"/>
      <x:c r="P82" t="str">
        <x:v>NGC</x:v>
      </x:c>
      <x:c r="Q82"/>
      <x:c r="R82" t="str">
        <x:v>Thal_Layyah</x:v>
      </x:c>
      <x:c r="S82" t="n">
        <x:v>121</x:v>
      </x:c>
      <x:c r="T82" t="str">
        <x:v>Annexure B-1(i)</x:v>
      </x:c>
      <x:c r="U82" t="n">
        <x:v>151</x:v>
      </x:c>
      <x:c r="V82" t="n">
        <x:v>96</x:v>
      </x:c>
      <x:c r="W82" t="str">
        <x:v>Plant coordinates are not provided in the IGCEP; plotted coordinates are indicative.</x:v>
      </x:c>
      <x:c r="X82" s="24" t="n">
        <x:v>40.89</x:v>
      </x:c>
      <x:c r="Y82" s="24" t="n">
        <x:v>41.02</x:v>
      </x:c>
      <x:c r="Z82" s="24" t="n">
        <x:v>40.89</x:v>
      </x:c>
      <x:c r="AA82" s="24" t="n">
        <x:v>40.89</x:v>
      </x:c>
      <x:c r="AB82" s="24" t="n">
        <x:v>40.89</x:v>
      </x:c>
      <x:c r="AC82" s="24" t="n">
        <x:v>41.02</x:v>
      </x:c>
      <x:c r="AD82" s="24" t="n">
        <x:v>40.89</x:v>
      </x:c>
      <x:c r="AE82" s="24" t="n">
        <x:v>40.89</x:v>
      </x:c>
      <x:c r="AF82" s="24" t="n">
        <x:v>40.89</x:v>
      </x:c>
    </x:row>
    <x:row r="83" ht="18" customHeight="1">
      <x:c r="A83" t="str">
        <x:v>B01-080</x:v>
      </x:c>
      <x:c r="B83" t="str">
        <x:v>Act/Tapal Wind</x:v>
      </x:c>
      <x:c r="C83" t="str">
        <x:v>Existing (Nov 2024)</x:v>
      </x:c>
      <x:c r="D83" s="26" t="n">
        <x:v>2024</x:v>
      </x:c>
      <x:c r="E83" t="str">
        <x:v>Existing</x:v>
      </x:c>
      <x:c r="F83" t="str">
        <x:v>Wind</x:v>
      </x:c>
      <x:c r="G83" t="str">
        <x:v>Wind</x:v>
      </x:c>
      <x:c r="H83" s="20" t="n">
        <x:v>30</x:v>
      </x:c>
      <x:c r="I83" s="20" t="n">
        <x:v>30</x:v>
      </x:c>
      <x:c r="J83" t="str">
        <x:v>Sindh</x:v>
      </x:c>
      <x:c r="K83" t="str">
        <x:v>Jhimpir–Gharo wind corridor</x:v>
      </x:c>
      <x:c r="L83" s="22" t="n">
        <x:v>25.01</x:v>
      </x:c>
      <x:c r="M83" s="22" t="n">
        <x:v>67.98</x:v>
      </x:c>
      <x:c r="N83" t="str">
        <x:v>Cluster proxy</x:v>
      </x:c>
      <x:c r="O83"/>
      <x:c r="P83" t="str">
        <x:v>NGC</x:v>
      </x:c>
      <x:c r="Q83"/>
      <x:c r="R83"/>
      <x:c r="S83"/>
      <x:c r="T83" t="str">
        <x:v>Annexure B-1(i)</x:v>
      </x:c>
      <x:c r="U83" t="n">
        <x:v>151</x:v>
      </x:c>
      <x:c r="V83" t="n">
        <x:v>96</x:v>
      </x:c>
      <x:c r="W83" t="str">
        <x:v>Wind farm plotted at common Sindh wind corridor anchor, NOT its precise coordinates.</x:v>
      </x:c>
      <x:c r="X83" s="24"/>
      <x:c r="Y83" s="24"/>
      <x:c r="Z83" s="24"/>
      <x:c r="AA83" s="24"/>
      <x:c r="AB83" s="24"/>
      <x:c r="AC83" s="24"/>
      <x:c r="AD83" s="24"/>
      <x:c r="AE83" s="24"/>
      <x:c r="AF83" s="24"/>
    </x:row>
    <x:row r="84" ht="18" customHeight="1">
      <x:c r="A84" t="str">
        <x:v>B01-081</x:v>
      </x:c>
      <x:c r="B84" t="str">
        <x:v>Artistic_Wind</x:v>
      </x:c>
      <x:c r="C84" t="str">
        <x:v>Existing (Nov 2024)</x:v>
      </x:c>
      <x:c r="D84" s="26" t="n">
        <x:v>2024</x:v>
      </x:c>
      <x:c r="E84" t="str">
        <x:v>Existing</x:v>
      </x:c>
      <x:c r="F84" t="str">
        <x:v>Wind</x:v>
      </x:c>
      <x:c r="G84" t="str">
        <x:v>Wind</x:v>
      </x:c>
      <x:c r="H84" s="20" t="n">
        <x:v>50</x:v>
      </x:c>
      <x:c r="I84" s="20" t="n">
        <x:v>50</x:v>
      </x:c>
      <x:c r="J84" t="str">
        <x:v>Sindh</x:v>
      </x:c>
      <x:c r="K84" t="str">
        <x:v>Jhimpir–Gharo wind corridor</x:v>
      </x:c>
      <x:c r="L84" s="22" t="n">
        <x:v>25.01</x:v>
      </x:c>
      <x:c r="M84" s="22" t="n">
        <x:v>67.98</x:v>
      </x:c>
      <x:c r="N84" t="str">
        <x:v>Cluster proxy</x:v>
      </x:c>
      <x:c r="O84"/>
      <x:c r="P84" t="str">
        <x:v>NGC</x:v>
      </x:c>
      <x:c r="Q84"/>
      <x:c r="R84" t="str">
        <x:v>Artistic_wind</x:v>
      </x:c>
      <x:c r="S84" t="n">
        <x:v>121</x:v>
      </x:c>
      <x:c r="T84" t="str">
        <x:v>Annexure B-1(i)</x:v>
      </x:c>
      <x:c r="U84" t="n">
        <x:v>151</x:v>
      </x:c>
      <x:c r="V84" t="n">
        <x:v>96</x:v>
      </x:c>
      <x:c r="W84" t="str">
        <x:v>Wind farm plotted at common Sindh wind corridor anchor, NOT its precise coordinates.</x:v>
      </x:c>
      <x:c r="X84" s="24" t="n">
        <x:v>34.86</x:v>
      </x:c>
      <x:c r="Y84" s="24" t="n">
        <x:v>34.82</x:v>
      </x:c>
      <x:c r="Z84" s="24" t="n">
        <x:v>34.86</x:v>
      </x:c>
      <x:c r="AA84" s="24" t="n">
        <x:v>34.86</x:v>
      </x:c>
      <x:c r="AB84" s="24" t="n">
        <x:v>34.86</x:v>
      </x:c>
      <x:c r="AC84" s="24" t="n">
        <x:v>34.82</x:v>
      </x:c>
      <x:c r="AD84" s="24" t="n">
        <x:v>34.86</x:v>
      </x:c>
      <x:c r="AE84" s="24" t="n">
        <x:v>34.86</x:v>
      </x:c>
      <x:c r="AF84" s="24" t="n">
        <x:v>34.86</x:v>
      </x:c>
    </x:row>
    <x:row r="85" ht="18" customHeight="1">
      <x:c r="A85" t="str">
        <x:v>B01-082</x:v>
      </x:c>
      <x:c r="B85" t="str">
        <x:v>Artistic_Wind-2</x:v>
      </x:c>
      <x:c r="C85" t="str">
        <x:v>Existing (Nov 2024)</x:v>
      </x:c>
      <x:c r="D85" s="26" t="n">
        <x:v>2024</x:v>
      </x:c>
      <x:c r="E85" t="str">
        <x:v>Existing</x:v>
      </x:c>
      <x:c r="F85" t="str">
        <x:v>Wind</x:v>
      </x:c>
      <x:c r="G85" t="str">
        <x:v>Wind</x:v>
      </x:c>
      <x:c r="H85" s="20" t="n">
        <x:v>50</x:v>
      </x:c>
      <x:c r="I85" s="20" t="n">
        <x:v>50</x:v>
      </x:c>
      <x:c r="J85" t="str">
        <x:v>Sindh</x:v>
      </x:c>
      <x:c r="K85" t="str">
        <x:v>Jhimpir–Gharo wind corridor</x:v>
      </x:c>
      <x:c r="L85" s="22" t="n">
        <x:v>25.01</x:v>
      </x:c>
      <x:c r="M85" s="22" t="n">
        <x:v>67.98</x:v>
      </x:c>
      <x:c r="N85" t="str">
        <x:v>Cluster proxy</x:v>
      </x:c>
      <x:c r="O85"/>
      <x:c r="P85" t="str">
        <x:v>NGC</x:v>
      </x:c>
      <x:c r="Q85"/>
      <x:c r="R85" t="str">
        <x:v>Artistic_Wind_2</x:v>
      </x:c>
      <x:c r="S85" t="n">
        <x:v>121</x:v>
      </x:c>
      <x:c r="T85" t="str">
        <x:v>Annexure B-1(i)</x:v>
      </x:c>
      <x:c r="U85" t="n">
        <x:v>151</x:v>
      </x:c>
      <x:c r="V85" t="n">
        <x:v>96</x:v>
      </x:c>
      <x:c r="W85" t="str">
        <x:v>Wind farm plotted at common Sindh wind corridor anchor, NOT its precise coordinates.</x:v>
      </x:c>
      <x:c r="X85" s="24" t="n">
        <x:v>37.94</x:v>
      </x:c>
      <x:c r="Y85" s="24" t="n">
        <x:v>37.89</x:v>
      </x:c>
      <x:c r="Z85" s="24" t="n">
        <x:v>37.94</x:v>
      </x:c>
      <x:c r="AA85" s="24" t="n">
        <x:v>37.94</x:v>
      </x:c>
      <x:c r="AB85" s="24" t="n">
        <x:v>37.94</x:v>
      </x:c>
      <x:c r="AC85" s="24" t="n">
        <x:v>37.89</x:v>
      </x:c>
      <x:c r="AD85" s="24" t="n">
        <x:v>37.94</x:v>
      </x:c>
      <x:c r="AE85" s="24" t="n">
        <x:v>37.94</x:v>
      </x:c>
      <x:c r="AF85" s="24" t="n">
        <x:v>37.94</x:v>
      </x:c>
    </x:row>
    <x:row r="86" ht="18" customHeight="1">
      <x:c r="A86" t="str">
        <x:v>B01-083</x:v>
      </x:c>
      <x:c r="B86" t="str">
        <x:v>Dawood</x:v>
      </x:c>
      <x:c r="C86" t="str">
        <x:v>Existing (Nov 2024)</x:v>
      </x:c>
      <x:c r="D86" s="26" t="n">
        <x:v>2024</x:v>
      </x:c>
      <x:c r="E86" t="str">
        <x:v>Existing</x:v>
      </x:c>
      <x:c r="F86" t="str">
        <x:v>Wind</x:v>
      </x:c>
      <x:c r="G86" t="str">
        <x:v>Wind</x:v>
      </x:c>
      <x:c r="H86" s="20" t="n">
        <x:v>50</x:v>
      </x:c>
      <x:c r="I86" s="20" t="n">
        <x:v>50</x:v>
      </x:c>
      <x:c r="J86" t="str">
        <x:v>Sindh</x:v>
      </x:c>
      <x:c r="K86" t="str">
        <x:v>Jhimpir–Gharo wind corridor</x:v>
      </x:c>
      <x:c r="L86" s="22" t="n">
        <x:v>25.01</x:v>
      </x:c>
      <x:c r="M86" s="22" t="n">
        <x:v>67.98</x:v>
      </x:c>
      <x:c r="N86" t="str">
        <x:v>Cluster proxy</x:v>
      </x:c>
      <x:c r="O86"/>
      <x:c r="P86" t="str">
        <x:v>NGC</x:v>
      </x:c>
      <x:c r="Q86"/>
      <x:c r="R86" t="str">
        <x:v>Dawood</x:v>
      </x:c>
      <x:c r="S86" t="n">
        <x:v>121</x:v>
      </x:c>
      <x:c r="T86" t="str">
        <x:v>Annexure B-1(i)</x:v>
      </x:c>
      <x:c r="U86" t="n">
        <x:v>151</x:v>
      </x:c>
      <x:c r="V86" t="n">
        <x:v>96</x:v>
      </x:c>
      <x:c r="W86" t="str">
        <x:v>Wind farm plotted at common Sindh wind corridor anchor, NOT its precise coordinates.</x:v>
      </x:c>
      <x:c r="X86" s="24" t="n">
        <x:v>30.99</x:v>
      </x:c>
      <x:c r="Y86" s="24" t="n">
        <x:v>30.95</x:v>
      </x:c>
      <x:c r="Z86" s="24" t="n">
        <x:v>30.99</x:v>
      </x:c>
      <x:c r="AA86" s="24" t="n">
        <x:v>30.99</x:v>
      </x:c>
      <x:c r="AB86" s="24" t="n">
        <x:v>30.99</x:v>
      </x:c>
      <x:c r="AC86" s="24" t="n">
        <x:v>30.95</x:v>
      </x:c>
      <x:c r="AD86" s="24" t="n">
        <x:v>30.99</x:v>
      </x:c>
      <x:c r="AE86" s="24" t="n">
        <x:v>30.99</x:v>
      </x:c>
      <x:c r="AF86" s="24" t="n">
        <x:v>30.99</x:v>
      </x:c>
    </x:row>
    <x:row r="87" ht="18" customHeight="1">
      <x:c r="A87" t="str">
        <x:v>B01-084</x:v>
      </x:c>
      <x:c r="B87" t="str">
        <x:v>Din Wind Energy</x:v>
      </x:c>
      <x:c r="C87" t="str">
        <x:v>Existing (Nov 2024)</x:v>
      </x:c>
      <x:c r="D87" s="26" t="n">
        <x:v>2024</x:v>
      </x:c>
      <x:c r="E87" t="str">
        <x:v>Existing</x:v>
      </x:c>
      <x:c r="F87" t="str">
        <x:v>Wind</x:v>
      </x:c>
      <x:c r="G87" t="str">
        <x:v>Wind</x:v>
      </x:c>
      <x:c r="H87" s="20" t="n">
        <x:v>50</x:v>
      </x:c>
      <x:c r="I87" s="20" t="n">
        <x:v>50</x:v>
      </x:c>
      <x:c r="J87" t="str">
        <x:v>Sindh</x:v>
      </x:c>
      <x:c r="K87" t="str">
        <x:v>Jhimpir–Gharo wind corridor</x:v>
      </x:c>
      <x:c r="L87" s="22" t="n">
        <x:v>25.01</x:v>
      </x:c>
      <x:c r="M87" s="22" t="n">
        <x:v>67.98</x:v>
      </x:c>
      <x:c r="N87" t="str">
        <x:v>Cluster proxy</x:v>
      </x:c>
      <x:c r="O87"/>
      <x:c r="P87" t="str">
        <x:v>NGC</x:v>
      </x:c>
      <x:c r="Q87"/>
      <x:c r="R87"/>
      <x:c r="S87"/>
      <x:c r="T87" t="str">
        <x:v>Annexure B-1(i)</x:v>
      </x:c>
      <x:c r="U87" t="n">
        <x:v>151</x:v>
      </x:c>
      <x:c r="V87" t="n">
        <x:v>96</x:v>
      </x:c>
      <x:c r="W87" t="str">
        <x:v>Wind farm plotted at common Sindh wind corridor anchor, NOT its precise coordinates.</x:v>
      </x:c>
      <x:c r="X87" s="24"/>
      <x:c r="Y87" s="24"/>
      <x:c r="Z87" s="24"/>
      <x:c r="AA87" s="24"/>
      <x:c r="AB87" s="24"/>
      <x:c r="AC87" s="24"/>
      <x:c r="AD87" s="24"/>
      <x:c r="AE87" s="24"/>
      <x:c r="AF87" s="24"/>
    </x:row>
    <x:row r="88" ht="18" customHeight="1">
      <x:c r="A88" t="str">
        <x:v>B01-085</x:v>
      </x:c>
      <x:c r="B88" t="str">
        <x:v>FFC</x:v>
      </x:c>
      <x:c r="C88" t="str">
        <x:v>Existing (Nov 2024)</x:v>
      </x:c>
      <x:c r="D88" s="26" t="n">
        <x:v>2024</x:v>
      </x:c>
      <x:c r="E88" t="str">
        <x:v>Existing</x:v>
      </x:c>
      <x:c r="F88" t="str">
        <x:v>Wind</x:v>
      </x:c>
      <x:c r="G88" t="str">
        <x:v>Wind</x:v>
      </x:c>
      <x:c r="H88" s="20" t="n">
        <x:v>50</x:v>
      </x:c>
      <x:c r="I88" s="20" t="n">
        <x:v>50</x:v>
      </x:c>
      <x:c r="J88" t="str">
        <x:v>Sindh</x:v>
      </x:c>
      <x:c r="K88" t="str">
        <x:v>Jhimpir–Gharo wind corridor</x:v>
      </x:c>
      <x:c r="L88" s="22" t="n">
        <x:v>25.01</x:v>
      </x:c>
      <x:c r="M88" s="22" t="n">
        <x:v>67.98</x:v>
      </x:c>
      <x:c r="N88" t="str">
        <x:v>Cluster proxy</x:v>
      </x:c>
      <x:c r="O88"/>
      <x:c r="P88" t="str">
        <x:v>NGC</x:v>
      </x:c>
      <x:c r="Q88"/>
      <x:c r="R88"/>
      <x:c r="S88"/>
      <x:c r="T88" t="str">
        <x:v>Annexure B-1(i)</x:v>
      </x:c>
      <x:c r="U88" t="n">
        <x:v>151</x:v>
      </x:c>
      <x:c r="V88" t="n">
        <x:v>96</x:v>
      </x:c>
      <x:c r="W88" t="str">
        <x:v>Wind farm plotted at common Sindh wind corridor anchor, NOT its precise coordinates.</x:v>
      </x:c>
      <x:c r="X88" s="24"/>
      <x:c r="Y88" s="24"/>
      <x:c r="Z88" s="24"/>
      <x:c r="AA88" s="24"/>
      <x:c r="AB88" s="24"/>
      <x:c r="AC88" s="24"/>
      <x:c r="AD88" s="24"/>
      <x:c r="AE88" s="24"/>
      <x:c r="AF88" s="24"/>
    </x:row>
    <x:row r="89" ht="18" customHeight="1">
      <x:c r="A89" t="str">
        <x:v>B01-086</x:v>
      </x:c>
      <x:c r="B89" t="str">
        <x:v>FWEL-I</x:v>
      </x:c>
      <x:c r="C89" t="str">
        <x:v>Existing (Nov 2024)</x:v>
      </x:c>
      <x:c r="D89" s="26" t="n">
        <x:v>2024</x:v>
      </x:c>
      <x:c r="E89" t="str">
        <x:v>Existing</x:v>
      </x:c>
      <x:c r="F89" t="str">
        <x:v>Wind</x:v>
      </x:c>
      <x:c r="G89" t="str">
        <x:v>Wind</x:v>
      </x:c>
      <x:c r="H89" s="20" t="n">
        <x:v>50</x:v>
      </x:c>
      <x:c r="I89" s="20" t="n">
        <x:v>50</x:v>
      </x:c>
      <x:c r="J89" t="str">
        <x:v>Sindh</x:v>
      </x:c>
      <x:c r="K89" t="str">
        <x:v>Jhimpir–Gharo wind corridor</x:v>
      </x:c>
      <x:c r="L89" s="22" t="n">
        <x:v>25.01</x:v>
      </x:c>
      <x:c r="M89" s="22" t="n">
        <x:v>67.98</x:v>
      </x:c>
      <x:c r="N89" t="str">
        <x:v>Cluster proxy</x:v>
      </x:c>
      <x:c r="O89"/>
      <x:c r="P89" t="str">
        <x:v>NGC</x:v>
      </x:c>
      <x:c r="Q89"/>
      <x:c r="R89"/>
      <x:c r="S89"/>
      <x:c r="T89" t="str">
        <x:v>Annexure B-1(i)</x:v>
      </x:c>
      <x:c r="U89" t="n">
        <x:v>151</x:v>
      </x:c>
      <x:c r="V89" t="n">
        <x:v>96</x:v>
      </x:c>
      <x:c r="W89" t="str">
        <x:v>Wind farm plotted at common Sindh wind corridor anchor, NOT its precise coordinates.</x:v>
      </x:c>
      <x:c r="X89" s="24"/>
      <x:c r="Y89" s="24"/>
      <x:c r="Z89" s="24"/>
      <x:c r="AA89" s="24"/>
      <x:c r="AB89" s="24"/>
      <x:c r="AC89" s="24"/>
      <x:c r="AD89" s="24"/>
      <x:c r="AE89" s="24"/>
      <x:c r="AF89" s="24"/>
    </x:row>
    <x:row r="90" ht="18" customHeight="1">
      <x:c r="A90" t="str">
        <x:v>B01-087</x:v>
      </x:c>
      <x:c r="B90" t="str">
        <x:v>FWEL-II</x:v>
      </x:c>
      <x:c r="C90" t="str">
        <x:v>Existing (Nov 2024)</x:v>
      </x:c>
      <x:c r="D90" s="26" t="n">
        <x:v>2024</x:v>
      </x:c>
      <x:c r="E90" t="str">
        <x:v>Existing</x:v>
      </x:c>
      <x:c r="F90" t="str">
        <x:v>Wind</x:v>
      </x:c>
      <x:c r="G90" t="str">
        <x:v>Wind</x:v>
      </x:c>
      <x:c r="H90" s="20" t="n">
        <x:v>50</x:v>
      </x:c>
      <x:c r="I90" s="20" t="n">
        <x:v>50</x:v>
      </x:c>
      <x:c r="J90" t="str">
        <x:v>Sindh</x:v>
      </x:c>
      <x:c r="K90" t="str">
        <x:v>Jhimpir–Gharo wind corridor</x:v>
      </x:c>
      <x:c r="L90" s="22" t="n">
        <x:v>25.01</x:v>
      </x:c>
      <x:c r="M90" s="22" t="n">
        <x:v>67.98</x:v>
      </x:c>
      <x:c r="N90" t="str">
        <x:v>Cluster proxy</x:v>
      </x:c>
      <x:c r="O90"/>
      <x:c r="P90" t="str">
        <x:v>NGC</x:v>
      </x:c>
      <x:c r="Q90"/>
      <x:c r="R90"/>
      <x:c r="S90"/>
      <x:c r="T90" t="str">
        <x:v>Annexure B-1(i)</x:v>
      </x:c>
      <x:c r="U90" t="n">
        <x:v>151</x:v>
      </x:c>
      <x:c r="V90" t="n">
        <x:v>96</x:v>
      </x:c>
      <x:c r="W90" t="str">
        <x:v>Wind farm plotted at common Sindh wind corridor anchor, NOT its precise coordinates.</x:v>
      </x:c>
      <x:c r="X90" s="24"/>
      <x:c r="Y90" s="24"/>
      <x:c r="Z90" s="24"/>
      <x:c r="AA90" s="24"/>
      <x:c r="AB90" s="24"/>
      <x:c r="AC90" s="24"/>
      <x:c r="AD90" s="24"/>
      <x:c r="AE90" s="24"/>
      <x:c r="AF90" s="24"/>
    </x:row>
    <x:row r="91" ht="18" customHeight="1">
      <x:c r="A91" t="str">
        <x:v>B01-088</x:v>
      </x:c>
      <x:c r="B91" t="str">
        <x:v>Gul Ahmed</x:v>
      </x:c>
      <x:c r="C91" t="str">
        <x:v>Existing (Nov 2024)</x:v>
      </x:c>
      <x:c r="D91" s="26" t="n">
        <x:v>2024</x:v>
      </x:c>
      <x:c r="E91" t="str">
        <x:v>Existing</x:v>
      </x:c>
      <x:c r="F91" t="str">
        <x:v>Wind</x:v>
      </x:c>
      <x:c r="G91" t="str">
        <x:v>Wind</x:v>
      </x:c>
      <x:c r="H91" s="20" t="n">
        <x:v>50</x:v>
      </x:c>
      <x:c r="I91" s="20" t="n">
        <x:v>50</x:v>
      </x:c>
      <x:c r="J91" t="str">
        <x:v>Sindh</x:v>
      </x:c>
      <x:c r="K91" t="str">
        <x:v>Jhimpir–Gharo wind corridor</x:v>
      </x:c>
      <x:c r="L91" s="22" t="n">
        <x:v>25.01</x:v>
      </x:c>
      <x:c r="M91" s="22" t="n">
        <x:v>67.98</x:v>
      </x:c>
      <x:c r="N91" t="str">
        <x:v>Cluster proxy</x:v>
      </x:c>
      <x:c r="O91"/>
      <x:c r="P91" t="str">
        <x:v>NGC</x:v>
      </x:c>
      <x:c r="Q91"/>
      <x:c r="R91" t="str">
        <x:v>Gul Ahmed</x:v>
      </x:c>
      <x:c r="S91" t="n">
        <x:v>121</x:v>
      </x:c>
      <x:c r="T91" t="str">
        <x:v>Annexure B-1(i)</x:v>
      </x:c>
      <x:c r="U91" t="n">
        <x:v>151</x:v>
      </x:c>
      <x:c r="V91" t="n">
        <x:v>96</x:v>
      </x:c>
      <x:c r="W91" t="str">
        <x:v>Wind farm plotted at common Sindh wind corridor anchor, NOT its precise coordinates.</x:v>
      </x:c>
      <x:c r="X91" s="24" t="n">
        <x:v>30.99</x:v>
      </x:c>
      <x:c r="Y91" s="24" t="n">
        <x:v>30.95</x:v>
      </x:c>
      <x:c r="Z91" s="24" t="n">
        <x:v>30.99</x:v>
      </x:c>
      <x:c r="AA91" s="24" t="n">
        <x:v>30.99</x:v>
      </x:c>
      <x:c r="AB91" s="24" t="n">
        <x:v>30.99</x:v>
      </x:c>
      <x:c r="AC91" s="24" t="n">
        <x:v>30.95</x:v>
      </x:c>
      <x:c r="AD91" s="24" t="n">
        <x:v>30.99</x:v>
      </x:c>
      <x:c r="AE91" s="24" t="n">
        <x:v>30.99</x:v>
      </x:c>
      <x:c r="AF91" s="24" t="n">
        <x:v>30.99</x:v>
      </x:c>
    </x:row>
    <x:row r="92" ht="18" customHeight="1">
      <x:c r="A92" t="str">
        <x:v>B01-089</x:v>
      </x:c>
      <x:c r="B92" t="str">
        <x:v>Gul Ahmed-II</x:v>
      </x:c>
      <x:c r="C92" t="str">
        <x:v>Existing (Nov 2024)</x:v>
      </x:c>
      <x:c r="D92" s="26" t="n">
        <x:v>2024</x:v>
      </x:c>
      <x:c r="E92" t="str">
        <x:v>Existing</x:v>
      </x:c>
      <x:c r="F92" t="str">
        <x:v>Wind</x:v>
      </x:c>
      <x:c r="G92" t="str">
        <x:v>Wind</x:v>
      </x:c>
      <x:c r="H92" s="20" t="n">
        <x:v>50</x:v>
      </x:c>
      <x:c r="I92" s="20" t="n">
        <x:v>50</x:v>
      </x:c>
      <x:c r="J92" t="str">
        <x:v>Sindh</x:v>
      </x:c>
      <x:c r="K92" t="str">
        <x:v>Jhimpir–Gharo wind corridor</x:v>
      </x:c>
      <x:c r="L92" s="22" t="n">
        <x:v>25.01</x:v>
      </x:c>
      <x:c r="M92" s="22" t="n">
        <x:v>67.98</x:v>
      </x:c>
      <x:c r="N92" t="str">
        <x:v>Cluster proxy</x:v>
      </x:c>
      <x:c r="O92"/>
      <x:c r="P92" t="str">
        <x:v>NGC</x:v>
      </x:c>
      <x:c r="Q92"/>
      <x:c r="R92"/>
      <x:c r="S92"/>
      <x:c r="T92" t="str">
        <x:v>Annexure B-1(i)</x:v>
      </x:c>
      <x:c r="U92" t="n">
        <x:v>152</x:v>
      </x:c>
      <x:c r="V92" t="n">
        <x:v>97</x:v>
      </x:c>
      <x:c r="W92" t="str">
        <x:v>Wind farm plotted at common Sindh wind corridor anchor, NOT its precise coordinates.</x:v>
      </x:c>
      <x:c r="X92" s="24"/>
      <x:c r="Y92" s="24"/>
      <x:c r="Z92" s="24"/>
      <x:c r="AA92" s="24"/>
      <x:c r="AB92" s="24"/>
      <x:c r="AC92" s="24"/>
      <x:c r="AD92" s="24"/>
      <x:c r="AE92" s="24"/>
      <x:c r="AF92" s="24"/>
    </x:row>
    <x:row r="93" ht="18" customHeight="1">
      <x:c r="A93" t="str">
        <x:v>B01-090</x:v>
      </x:c>
      <x:c r="B93" t="str">
        <x:v>Hawa</x:v>
      </x:c>
      <x:c r="C93" t="str">
        <x:v>Existing (Nov 2024)</x:v>
      </x:c>
      <x:c r="D93" s="26" t="n">
        <x:v>2024</x:v>
      </x:c>
      <x:c r="E93" t="str">
        <x:v>Existing</x:v>
      </x:c>
      <x:c r="F93" t="str">
        <x:v>Wind</x:v>
      </x:c>
      <x:c r="G93" t="str">
        <x:v>Wind</x:v>
      </x:c>
      <x:c r="H93" s="20" t="n">
        <x:v>50</x:v>
      </x:c>
      <x:c r="I93" s="20" t="n">
        <x:v>50</x:v>
      </x:c>
      <x:c r="J93" t="str">
        <x:v>Sindh</x:v>
      </x:c>
      <x:c r="K93" t="str">
        <x:v>Jhimpir–Gharo wind corridor</x:v>
      </x:c>
      <x:c r="L93" s="22" t="n">
        <x:v>25.01</x:v>
      </x:c>
      <x:c r="M93" s="22" t="n">
        <x:v>67.98</x:v>
      </x:c>
      <x:c r="N93" t="str">
        <x:v>Cluster proxy</x:v>
      </x:c>
      <x:c r="O93"/>
      <x:c r="P93" t="str">
        <x:v>NGC</x:v>
      </x:c>
      <x:c r="Q93"/>
      <x:c r="R93" t="str">
        <x:v>Hawa</x:v>
      </x:c>
      <x:c r="S93" t="n">
        <x:v>122</x:v>
      </x:c>
      <x:c r="T93" t="str">
        <x:v>Annexure B-1(i)</x:v>
      </x:c>
      <x:c r="U93" t="n">
        <x:v>152</x:v>
      </x:c>
      <x:c r="V93" t="n">
        <x:v>97</x:v>
      </x:c>
      <x:c r="W93" t="str">
        <x:v>Wind farm plotted at common Sindh wind corridor anchor, NOT its precise coordinates.</x:v>
      </x:c>
      <x:c r="X93" s="24" t="n">
        <x:v>34.86</x:v>
      </x:c>
      <x:c r="Y93" s="24" t="n">
        <x:v>34.82</x:v>
      </x:c>
      <x:c r="Z93" s="24" t="n">
        <x:v>34.86</x:v>
      </x:c>
      <x:c r="AA93" s="24" t="n">
        <x:v>34.86</x:v>
      </x:c>
      <x:c r="AB93" s="24" t="n">
        <x:v>34.86</x:v>
      </x:c>
      <x:c r="AC93" s="24" t="n">
        <x:v>34.82</x:v>
      </x:c>
      <x:c r="AD93" s="24" t="n">
        <x:v>34.86</x:v>
      </x:c>
      <x:c r="AE93" s="24" t="n">
        <x:v>34.86</x:v>
      </x:c>
      <x:c r="AF93" s="24" t="n">
        <x:v>34.86</x:v>
      </x:c>
    </x:row>
    <x:row r="94" ht="18" customHeight="1">
      <x:c r="A94" t="str">
        <x:v>B01-091</x:v>
      </x:c>
      <x:c r="B94" t="str">
        <x:v>Indus</x:v>
      </x:c>
      <x:c r="C94" t="str">
        <x:v>Existing (Nov 2024)</x:v>
      </x:c>
      <x:c r="D94" s="26" t="n">
        <x:v>2024</x:v>
      </x:c>
      <x:c r="E94" t="str">
        <x:v>Existing</x:v>
      </x:c>
      <x:c r="F94" t="str">
        <x:v>Wind</x:v>
      </x:c>
      <x:c r="G94" t="str">
        <x:v>Wind</x:v>
      </x:c>
      <x:c r="H94" s="20" t="n">
        <x:v>50</x:v>
      </x:c>
      <x:c r="I94" s="20" t="n">
        <x:v>50</x:v>
      </x:c>
      <x:c r="J94" t="str">
        <x:v>Sindh</x:v>
      </x:c>
      <x:c r="K94" t="str">
        <x:v>Jhimpir–Gharo wind corridor</x:v>
      </x:c>
      <x:c r="L94" s="22" t="n">
        <x:v>25.01</x:v>
      </x:c>
      <x:c r="M94" s="22" t="n">
        <x:v>67.98</x:v>
      </x:c>
      <x:c r="N94" t="str">
        <x:v>Cluster proxy</x:v>
      </x:c>
      <x:c r="O94"/>
      <x:c r="P94" t="str">
        <x:v>NGC</x:v>
      </x:c>
      <x:c r="Q94"/>
      <x:c r="R94"/>
      <x:c r="S94"/>
      <x:c r="T94" t="str">
        <x:v>Annexure B-1(i)</x:v>
      </x:c>
      <x:c r="U94" t="n">
        <x:v>152</x:v>
      </x:c>
      <x:c r="V94" t="n">
        <x:v>97</x:v>
      </x:c>
      <x:c r="W94" t="str">
        <x:v>Wind farm plotted at common Sindh wind corridor anchor, NOT its precise coordinates.</x:v>
      </x:c>
      <x:c r="X94" s="24"/>
      <x:c r="Y94" s="24"/>
      <x:c r="Z94" s="24"/>
      <x:c r="AA94" s="24"/>
      <x:c r="AB94" s="24"/>
      <x:c r="AC94" s="24"/>
      <x:c r="AD94" s="24"/>
      <x:c r="AE94" s="24"/>
      <x:c r="AF94" s="24"/>
    </x:row>
    <x:row r="95" ht="18" customHeight="1">
      <x:c r="A95" t="str">
        <x:v>B01-092</x:v>
      </x:c>
      <x:c r="B95" t="str">
        <x:v>Jhimpir</x:v>
      </x:c>
      <x:c r="C95" t="str">
        <x:v>Existing (Nov 2024)</x:v>
      </x:c>
      <x:c r="D95" s="26" t="n">
        <x:v>2024</x:v>
      </x:c>
      <x:c r="E95" t="str">
        <x:v>Existing</x:v>
      </x:c>
      <x:c r="F95" t="str">
        <x:v>Wind</x:v>
      </x:c>
      <x:c r="G95" t="str">
        <x:v>Wind</x:v>
      </x:c>
      <x:c r="H95" s="20" t="n">
        <x:v>50</x:v>
      </x:c>
      <x:c r="I95" s="20" t="n">
        <x:v>50</x:v>
      </x:c>
      <x:c r="J95" t="str">
        <x:v>Sindh</x:v>
      </x:c>
      <x:c r="K95" t="str">
        <x:v>Jhimpir–Gharo wind corridor</x:v>
      </x:c>
      <x:c r="L95" s="22" t="n">
        <x:v>25.01</x:v>
      </x:c>
      <x:c r="M95" s="22" t="n">
        <x:v>67.98</x:v>
      </x:c>
      <x:c r="N95" t="str">
        <x:v>Cluster proxy</x:v>
      </x:c>
      <x:c r="O95"/>
      <x:c r="P95" t="str">
        <x:v>NGC</x:v>
      </x:c>
      <x:c r="Q95"/>
      <x:c r="R95" t="str">
        <x:v>Jhimpir</x:v>
      </x:c>
      <x:c r="S95" t="n">
        <x:v>122</x:v>
      </x:c>
      <x:c r="T95" t="str">
        <x:v>Annexure B-1(i)</x:v>
      </x:c>
      <x:c r="U95" t="n">
        <x:v>152</x:v>
      </x:c>
      <x:c r="V95" t="n">
        <x:v>97</x:v>
      </x:c>
      <x:c r="W95" t="str">
        <x:v>Wind farm plotted at common Sindh wind corridor anchor, NOT its precise coordinates.</x:v>
      </x:c>
      <x:c r="X95" s="24" t="n">
        <x:v>34.86</x:v>
      </x:c>
      <x:c r="Y95" s="24" t="n">
        <x:v>34.82</x:v>
      </x:c>
      <x:c r="Z95" s="24" t="n">
        <x:v>34.86</x:v>
      </x:c>
      <x:c r="AA95" s="24" t="n">
        <x:v>34.86</x:v>
      </x:c>
      <x:c r="AB95" s="24" t="n">
        <x:v>34.86</x:v>
      </x:c>
      <x:c r="AC95" s="24" t="n">
        <x:v>34.82</x:v>
      </x:c>
      <x:c r="AD95" s="24" t="n">
        <x:v>34.86</x:v>
      </x:c>
      <x:c r="AE95" s="24" t="n">
        <x:v>34.86</x:v>
      </x:c>
      <x:c r="AF95" s="24" t="n">
        <x:v>34.86</x:v>
      </x:c>
    </x:row>
    <x:row r="96" ht="18" customHeight="1">
      <x:c r="A96" t="str">
        <x:v>B01-093</x:v>
      </x:c>
      <x:c r="B96" t="str">
        <x:v>Lakeside Wind</x:v>
      </x:c>
      <x:c r="C96" t="str">
        <x:v>Existing (Nov 2024)</x:v>
      </x:c>
      <x:c r="D96" s="26" t="n">
        <x:v>2024</x:v>
      </x:c>
      <x:c r="E96" t="str">
        <x:v>Existing</x:v>
      </x:c>
      <x:c r="F96" t="str">
        <x:v>Wind</x:v>
      </x:c>
      <x:c r="G96" t="str">
        <x:v>Wind</x:v>
      </x:c>
      <x:c r="H96" s="20" t="n">
        <x:v>50</x:v>
      </x:c>
      <x:c r="I96" s="20" t="n">
        <x:v>50</x:v>
      </x:c>
      <x:c r="J96" t="str">
        <x:v>Sindh</x:v>
      </x:c>
      <x:c r="K96" t="str">
        <x:v>Jhimpir–Gharo wind corridor</x:v>
      </x:c>
      <x:c r="L96" s="22" t="n">
        <x:v>25.01</x:v>
      </x:c>
      <x:c r="M96" s="22" t="n">
        <x:v>67.98</x:v>
      </x:c>
      <x:c r="N96" t="str">
        <x:v>Cluster proxy</x:v>
      </x:c>
      <x:c r="O96"/>
      <x:c r="P96" t="str">
        <x:v>NGC</x:v>
      </x:c>
      <x:c r="Q96"/>
      <x:c r="R96"/>
      <x:c r="S96"/>
      <x:c r="T96" t="str">
        <x:v>Annexure B-1(i)</x:v>
      </x:c>
      <x:c r="U96" t="n">
        <x:v>152</x:v>
      </x:c>
      <x:c r="V96" t="n">
        <x:v>97</x:v>
      </x:c>
      <x:c r="W96" t="str">
        <x:v>Wind farm plotted at common Sindh wind corridor anchor, NOT its precise coordinates.</x:v>
      </x:c>
      <x:c r="X96" s="24"/>
      <x:c r="Y96" s="24"/>
      <x:c r="Z96" s="24"/>
      <x:c r="AA96" s="24"/>
      <x:c r="AB96" s="24"/>
      <x:c r="AC96" s="24"/>
      <x:c r="AD96" s="24"/>
      <x:c r="AE96" s="24"/>
      <x:c r="AF96" s="24"/>
    </x:row>
    <x:row r="97" ht="18" customHeight="1">
      <x:c r="A97" t="str">
        <x:v>B01-094</x:v>
      </x:c>
      <x:c r="B97" t="str">
        <x:v>Liberty Wind-I</x:v>
      </x:c>
      <x:c r="C97" t="str">
        <x:v>Existing (Nov 2024)</x:v>
      </x:c>
      <x:c r="D97" s="26" t="n">
        <x:v>2024</x:v>
      </x:c>
      <x:c r="E97" t="str">
        <x:v>Existing</x:v>
      </x:c>
      <x:c r="F97" t="str">
        <x:v>Wind</x:v>
      </x:c>
      <x:c r="G97" t="str">
        <x:v>Wind</x:v>
      </x:c>
      <x:c r="H97" s="20" t="n">
        <x:v>50</x:v>
      </x:c>
      <x:c r="I97" s="20" t="n">
        <x:v>50</x:v>
      </x:c>
      <x:c r="J97" t="str">
        <x:v>Sindh</x:v>
      </x:c>
      <x:c r="K97" t="str">
        <x:v>Jhimpir–Gharo wind corridor</x:v>
      </x:c>
      <x:c r="L97" s="22" t="n">
        <x:v>25.01</x:v>
      </x:c>
      <x:c r="M97" s="22" t="n">
        <x:v>67.98</x:v>
      </x:c>
      <x:c r="N97" t="str">
        <x:v>Cluster proxy</x:v>
      </x:c>
      <x:c r="O97"/>
      <x:c r="P97" t="str">
        <x:v>NGC</x:v>
      </x:c>
      <x:c r="Q97"/>
      <x:c r="R97"/>
      <x:c r="S97"/>
      <x:c r="T97" t="str">
        <x:v>Annexure B-1(i)</x:v>
      </x:c>
      <x:c r="U97" t="n">
        <x:v>152</x:v>
      </x:c>
      <x:c r="V97" t="n">
        <x:v>97</x:v>
      </x:c>
      <x:c r="W97" t="str">
        <x:v>Wind farm plotted at common Sindh wind corridor anchor, NOT its precise coordinates.</x:v>
      </x:c>
      <x:c r="X97" s="24"/>
      <x:c r="Y97" s="24"/>
      <x:c r="Z97" s="24"/>
      <x:c r="AA97" s="24"/>
      <x:c r="AB97" s="24"/>
      <x:c r="AC97" s="24"/>
      <x:c r="AD97" s="24"/>
      <x:c r="AE97" s="24"/>
      <x:c r="AF97" s="24"/>
    </x:row>
    <x:row r="98" ht="18" customHeight="1">
      <x:c r="A98" t="str">
        <x:v>B01-095</x:v>
      </x:c>
      <x:c r="B98" t="str">
        <x:v>Master</x:v>
      </x:c>
      <x:c r="C98" t="str">
        <x:v>Existing (Nov 2024)</x:v>
      </x:c>
      <x:c r="D98" s="26" t="n">
        <x:v>2024</x:v>
      </x:c>
      <x:c r="E98" t="str">
        <x:v>Existing</x:v>
      </x:c>
      <x:c r="F98" t="str">
        <x:v>Wind</x:v>
      </x:c>
      <x:c r="G98" t="str">
        <x:v>Wind</x:v>
      </x:c>
      <x:c r="H98" s="20" t="n">
        <x:v>50</x:v>
      </x:c>
      <x:c r="I98" s="20" t="n">
        <x:v>50</x:v>
      </x:c>
      <x:c r="J98" t="str">
        <x:v>Sindh</x:v>
      </x:c>
      <x:c r="K98" t="str">
        <x:v>Jhimpir–Gharo wind corridor</x:v>
      </x:c>
      <x:c r="L98" s="22" t="n">
        <x:v>25.01</x:v>
      </x:c>
      <x:c r="M98" s="22" t="n">
        <x:v>67.98</x:v>
      </x:c>
      <x:c r="N98" t="str">
        <x:v>Cluster proxy</x:v>
      </x:c>
      <x:c r="O98"/>
      <x:c r="P98" t="str">
        <x:v>NGC</x:v>
      </x:c>
      <x:c r="Q98"/>
      <x:c r="R98" t="str">
        <x:v>Master</x:v>
      </x:c>
      <x:c r="S98" t="n">
        <x:v>122</x:v>
      </x:c>
      <x:c r="T98" t="str">
        <x:v>Annexure B-1(i)</x:v>
      </x:c>
      <x:c r="U98" t="n">
        <x:v>152</x:v>
      </x:c>
      <x:c r="V98" t="n">
        <x:v>97</x:v>
      </x:c>
      <x:c r="W98" t="str">
        <x:v>Wind farm plotted at common Sindh wind corridor anchor, NOT its precise coordinates.</x:v>
      </x:c>
      <x:c r="X98" s="24" t="n">
        <x:v>30.99</x:v>
      </x:c>
      <x:c r="Y98" s="24" t="n">
        <x:v>30.95</x:v>
      </x:c>
      <x:c r="Z98" s="24" t="n">
        <x:v>30.99</x:v>
      </x:c>
      <x:c r="AA98" s="24" t="n">
        <x:v>30.99</x:v>
      </x:c>
      <x:c r="AB98" s="24" t="n">
        <x:v>30.99</x:v>
      </x:c>
      <x:c r="AC98" s="24" t="n">
        <x:v>30.95</x:v>
      </x:c>
      <x:c r="AD98" s="24" t="n">
        <x:v>30.99</x:v>
      </x:c>
      <x:c r="AE98" s="24" t="n">
        <x:v>30.99</x:v>
      </x:c>
      <x:c r="AF98" s="24" t="n">
        <x:v>30.99</x:v>
      </x:c>
    </x:row>
    <x:row r="99" ht="18" customHeight="1">
      <x:c r="A99" t="str">
        <x:v>B01-096</x:v>
      </x:c>
      <x:c r="B99" t="str">
        <x:v>Master Green</x:v>
      </x:c>
      <x:c r="C99" t="str">
        <x:v>Existing (Nov 2024)</x:v>
      </x:c>
      <x:c r="D99" s="26" t="n">
        <x:v>2024</x:v>
      </x:c>
      <x:c r="E99" t="str">
        <x:v>Existing</x:v>
      </x:c>
      <x:c r="F99" t="str">
        <x:v>Wind</x:v>
      </x:c>
      <x:c r="G99" t="str">
        <x:v>Wind</x:v>
      </x:c>
      <x:c r="H99" s="20" t="n">
        <x:v>50</x:v>
      </x:c>
      <x:c r="I99" s="20" t="n">
        <x:v>50</x:v>
      </x:c>
      <x:c r="J99" t="str">
        <x:v>Sindh</x:v>
      </x:c>
      <x:c r="K99" t="str">
        <x:v>Jhimpir–Gharo wind corridor</x:v>
      </x:c>
      <x:c r="L99" s="22" t="n">
        <x:v>25.01</x:v>
      </x:c>
      <x:c r="M99" s="22" t="n">
        <x:v>67.98</x:v>
      </x:c>
      <x:c r="N99" t="str">
        <x:v>Cluster proxy</x:v>
      </x:c>
      <x:c r="O99"/>
      <x:c r="P99" t="str">
        <x:v>NGC</x:v>
      </x:c>
      <x:c r="Q99"/>
      <x:c r="R99" t="str">
        <x:v>Master_Green</x:v>
      </x:c>
      <x:c r="S99" t="n">
        <x:v>122</x:v>
      </x:c>
      <x:c r="T99" t="str">
        <x:v>Annexure B-1(i)</x:v>
      </x:c>
      <x:c r="U99" t="n">
        <x:v>152</x:v>
      </x:c>
      <x:c r="V99" t="n">
        <x:v>97</x:v>
      </x:c>
      <x:c r="W99" t="str">
        <x:v>Wind farm plotted at common Sindh wind corridor anchor, NOT its precise coordinates.</x:v>
      </x:c>
      <x:c r="X99" s="24" t="n">
        <x:v>37.94</x:v>
      </x:c>
      <x:c r="Y99" s="24" t="n">
        <x:v>37.89</x:v>
      </x:c>
      <x:c r="Z99" s="24" t="n">
        <x:v>37.94</x:v>
      </x:c>
      <x:c r="AA99" s="24" t="n">
        <x:v>37.94</x:v>
      </x:c>
      <x:c r="AB99" s="24" t="n">
        <x:v>37.94</x:v>
      </x:c>
      <x:c r="AC99" s="24" t="n">
        <x:v>37.89</x:v>
      </x:c>
      <x:c r="AD99" s="24" t="n">
        <x:v>37.94</x:v>
      </x:c>
      <x:c r="AE99" s="24" t="n">
        <x:v>37.94</x:v>
      </x:c>
      <x:c r="AF99" s="24" t="n">
        <x:v>37.94</x:v>
      </x:c>
    </x:row>
    <x:row r="100" ht="18" customHeight="1">
      <x:c r="A100" t="str">
        <x:v>B01-097</x:v>
      </x:c>
      <x:c r="B100" t="str">
        <x:v>Metro_Wind</x:v>
      </x:c>
      <x:c r="C100" t="str">
        <x:v>Existing (Nov 2024)</x:v>
      </x:c>
      <x:c r="D100" s="26" t="n">
        <x:v>2024</x:v>
      </x:c>
      <x:c r="E100" t="str">
        <x:v>Existing</x:v>
      </x:c>
      <x:c r="F100" t="str">
        <x:v>Wind</x:v>
      </x:c>
      <x:c r="G100" t="str">
        <x:v>Wind</x:v>
      </x:c>
      <x:c r="H100" s="20" t="n">
        <x:v>50</x:v>
      </x:c>
      <x:c r="I100" s="20" t="n">
        <x:v>50</x:v>
      </x:c>
      <x:c r="J100" t="str">
        <x:v>Sindh</x:v>
      </x:c>
      <x:c r="K100" t="str">
        <x:v>Jhimpir–Gharo wind corridor</x:v>
      </x:c>
      <x:c r="L100" s="22" t="n">
        <x:v>25.01</x:v>
      </x:c>
      <x:c r="M100" s="22" t="n">
        <x:v>67.98</x:v>
      </x:c>
      <x:c r="N100" t="str">
        <x:v>Cluster proxy</x:v>
      </x:c>
      <x:c r="O100"/>
      <x:c r="P100" t="str">
        <x:v>NGC</x:v>
      </x:c>
      <x:c r="Q100"/>
      <x:c r="R100" t="str">
        <x:v>Metro_Wind</x:v>
      </x:c>
      <x:c r="S100" t="n">
        <x:v>122</x:v>
      </x:c>
      <x:c r="T100" t="str">
        <x:v>Annexure B-1(i)</x:v>
      </x:c>
      <x:c r="U100" t="n">
        <x:v>152</x:v>
      </x:c>
      <x:c r="V100" t="n">
        <x:v>97</x:v>
      </x:c>
      <x:c r="W100" t="str">
        <x:v>Wind farm plotted at common Sindh wind corridor anchor, NOT its precise coordinates.</x:v>
      </x:c>
      <x:c r="X100" s="24" t="n">
        <x:v>37.94</x:v>
      </x:c>
      <x:c r="Y100" s="24" t="n">
        <x:v>37.89</x:v>
      </x:c>
      <x:c r="Z100" s="24" t="n">
        <x:v>37.94</x:v>
      </x:c>
      <x:c r="AA100" s="24" t="n">
        <x:v>37.94</x:v>
      </x:c>
      <x:c r="AB100" s="24" t="n">
        <x:v>37.94</x:v>
      </x:c>
      <x:c r="AC100" s="24" t="n">
        <x:v>37.89</x:v>
      </x:c>
      <x:c r="AD100" s="24" t="n">
        <x:v>37.94</x:v>
      </x:c>
      <x:c r="AE100" s="24" t="n">
        <x:v>37.94</x:v>
      </x:c>
      <x:c r="AF100" s="24" t="n">
        <x:v>37.94</x:v>
      </x:c>
    </x:row>
    <x:row r="101" ht="18" customHeight="1">
      <x:c r="A101" t="str">
        <x:v>B01-098</x:v>
      </x:c>
      <x:c r="B101" t="str">
        <x:v>Metro_Wind-II</x:v>
      </x:c>
      <x:c r="C101" t="str">
        <x:v>Existing (Nov 2024)</x:v>
      </x:c>
      <x:c r="D101" s="26" t="n">
        <x:v>2024</x:v>
      </x:c>
      <x:c r="E101" t="str">
        <x:v>Existing</x:v>
      </x:c>
      <x:c r="F101" t="str">
        <x:v>Wind</x:v>
      </x:c>
      <x:c r="G101" t="str">
        <x:v>Wind</x:v>
      </x:c>
      <x:c r="H101" s="20" t="n">
        <x:v>60</x:v>
      </x:c>
      <x:c r="I101" s="20" t="n">
        <x:v>60</x:v>
      </x:c>
      <x:c r="J101" t="str">
        <x:v>Sindh</x:v>
      </x:c>
      <x:c r="K101" t="str">
        <x:v>Jhimpir–Gharo wind corridor</x:v>
      </x:c>
      <x:c r="L101" s="22" t="n">
        <x:v>25.01</x:v>
      </x:c>
      <x:c r="M101" s="22" t="n">
        <x:v>67.98</x:v>
      </x:c>
      <x:c r="N101" t="str">
        <x:v>Cluster proxy</x:v>
      </x:c>
      <x:c r="O101"/>
      <x:c r="P101" t="str">
        <x:v>NGC</x:v>
      </x:c>
      <x:c r="Q101"/>
      <x:c r="R101"/>
      <x:c r="S101"/>
      <x:c r="T101" t="str">
        <x:v>Annexure B-1(i)</x:v>
      </x:c>
      <x:c r="U101" t="n">
        <x:v>152</x:v>
      </x:c>
      <x:c r="V101" t="n">
        <x:v>97</x:v>
      </x:c>
      <x:c r="W101" t="str">
        <x:v>Wind farm plotted at common Sindh wind corridor anchor, NOT its precise coordinates.</x:v>
      </x:c>
      <x:c r="X101" s="24"/>
      <x:c r="Y101" s="24"/>
      <x:c r="Z101" s="24"/>
      <x:c r="AA101" s="24"/>
      <x:c r="AB101" s="24"/>
      <x:c r="AC101" s="24"/>
      <x:c r="AD101" s="24"/>
      <x:c r="AE101" s="24"/>
      <x:c r="AF101" s="24"/>
    </x:row>
    <x:row r="102" ht="18" customHeight="1">
      <x:c r="A102" t="str">
        <x:v>B01-099</x:v>
      </x:c>
      <x:c r="B102" t="str">
        <x:v>NASDA Green Wind</x:v>
      </x:c>
      <x:c r="C102" t="str">
        <x:v>Existing (Nov 2024)</x:v>
      </x:c>
      <x:c r="D102" s="26" t="n">
        <x:v>2024</x:v>
      </x:c>
      <x:c r="E102" t="str">
        <x:v>Existing</x:v>
      </x:c>
      <x:c r="F102" t="str">
        <x:v>Wind</x:v>
      </x:c>
      <x:c r="G102" t="str">
        <x:v>Wind</x:v>
      </x:c>
      <x:c r="H102" s="20" t="n">
        <x:v>50</x:v>
      </x:c>
      <x:c r="I102" s="20" t="n">
        <x:v>50</x:v>
      </x:c>
      <x:c r="J102" t="str">
        <x:v>Sindh</x:v>
      </x:c>
      <x:c r="K102" t="str">
        <x:v>Jhimpir–Gharo wind corridor</x:v>
      </x:c>
      <x:c r="L102" s="22" t="n">
        <x:v>25.01</x:v>
      </x:c>
      <x:c r="M102" s="22" t="n">
        <x:v>67.98</x:v>
      </x:c>
      <x:c r="N102" t="str">
        <x:v>Cluster proxy</x:v>
      </x:c>
      <x:c r="O102"/>
      <x:c r="P102" t="str">
        <x:v>NGC</x:v>
      </x:c>
      <x:c r="Q102"/>
      <x:c r="R102"/>
      <x:c r="S102"/>
      <x:c r="T102" t="str">
        <x:v>Annexure B-1(i)</x:v>
      </x:c>
      <x:c r="U102" t="n">
        <x:v>152</x:v>
      </x:c>
      <x:c r="V102" t="n">
        <x:v>97</x:v>
      </x:c>
      <x:c r="W102" t="str">
        <x:v>Wind farm plotted at common Sindh wind corridor anchor, NOT its precise coordinates.</x:v>
      </x:c>
      <x:c r="X102" s="24"/>
      <x:c r="Y102" s="24"/>
      <x:c r="Z102" s="24"/>
      <x:c r="AA102" s="24"/>
      <x:c r="AB102" s="24"/>
      <x:c r="AC102" s="24"/>
      <x:c r="AD102" s="24"/>
      <x:c r="AE102" s="24"/>
      <x:c r="AF102" s="24"/>
    </x:row>
    <x:row r="103" ht="18" customHeight="1">
      <x:c r="A103" t="str">
        <x:v>B01-100</x:v>
      </x:c>
      <x:c r="B103" t="str">
        <x:v>Sachal</x:v>
      </x:c>
      <x:c r="C103" t="str">
        <x:v>Existing (Nov 2024)</x:v>
      </x:c>
      <x:c r="D103" s="26" t="n">
        <x:v>2024</x:v>
      </x:c>
      <x:c r="E103" t="str">
        <x:v>Existing</x:v>
      </x:c>
      <x:c r="F103" t="str">
        <x:v>Wind</x:v>
      </x:c>
      <x:c r="G103" t="str">
        <x:v>Wind</x:v>
      </x:c>
      <x:c r="H103" s="20" t="n">
        <x:v>50</x:v>
      </x:c>
      <x:c r="I103" s="20" t="n">
        <x:v>50</x:v>
      </x:c>
      <x:c r="J103" t="str">
        <x:v>Sindh</x:v>
      </x:c>
      <x:c r="K103" t="str">
        <x:v>Jhimpir–Gharo wind corridor</x:v>
      </x:c>
      <x:c r="L103" s="22" t="n">
        <x:v>25.01</x:v>
      </x:c>
      <x:c r="M103" s="22" t="n">
        <x:v>67.98</x:v>
      </x:c>
      <x:c r="N103" t="str">
        <x:v>Cluster proxy</x:v>
      </x:c>
      <x:c r="O103"/>
      <x:c r="P103" t="str">
        <x:v>NGC</x:v>
      </x:c>
      <x:c r="Q103"/>
      <x:c r="R103" t="str">
        <x:v>Sachal</x:v>
      </x:c>
      <x:c r="S103" t="n">
        <x:v>122</x:v>
      </x:c>
      <x:c r="T103" t="str">
        <x:v>Annexure B-1(i)</x:v>
      </x:c>
      <x:c r="U103" t="n">
        <x:v>152</x:v>
      </x:c>
      <x:c r="V103" t="n">
        <x:v>97</x:v>
      </x:c>
      <x:c r="W103" t="str">
        <x:v>Wind farm plotted at common Sindh wind corridor anchor, NOT its precise coordinates.</x:v>
      </x:c>
      <x:c r="X103" s="24" t="n">
        <x:v>30.99</x:v>
      </x:c>
      <x:c r="Y103" s="24" t="n">
        <x:v>30.95</x:v>
      </x:c>
      <x:c r="Z103" s="24" t="n">
        <x:v>30.99</x:v>
      </x:c>
      <x:c r="AA103" s="24" t="n">
        <x:v>30.99</x:v>
      </x:c>
      <x:c r="AB103" s="24" t="n">
        <x:v>30.99</x:v>
      </x:c>
      <x:c r="AC103" s="24" t="n">
        <x:v>30.95</x:v>
      </x:c>
      <x:c r="AD103" s="24" t="n">
        <x:v>30.99</x:v>
      </x:c>
      <x:c r="AE103" s="24" t="n">
        <x:v>30.99</x:v>
      </x:c>
      <x:c r="AF103" s="24" t="n">
        <x:v>30.99</x:v>
      </x:c>
    </x:row>
    <x:row r="104" ht="18" customHeight="1">
      <x:c r="A104" t="str">
        <x:v>B01-101</x:v>
      </x:c>
      <x:c r="B104" t="str">
        <x:v>Sapphire_Wind</x:v>
      </x:c>
      <x:c r="C104" t="str">
        <x:v>Existing (Nov 2024)</x:v>
      </x:c>
      <x:c r="D104" s="26" t="n">
        <x:v>2024</x:v>
      </x:c>
      <x:c r="E104" t="str">
        <x:v>Existing</x:v>
      </x:c>
      <x:c r="F104" t="str">
        <x:v>Wind</x:v>
      </x:c>
      <x:c r="G104" t="str">
        <x:v>Wind</x:v>
      </x:c>
      <x:c r="H104" s="20" t="n">
        <x:v>50</x:v>
      </x:c>
      <x:c r="I104" s="20" t="n">
        <x:v>50</x:v>
      </x:c>
      <x:c r="J104" t="str">
        <x:v>Sindh</x:v>
      </x:c>
      <x:c r="K104" t="str">
        <x:v>Jhimpir–Gharo wind corridor</x:v>
      </x:c>
      <x:c r="L104" s="22" t="n">
        <x:v>25.01</x:v>
      </x:c>
      <x:c r="M104" s="22" t="n">
        <x:v>67.98</x:v>
      </x:c>
      <x:c r="N104" t="str">
        <x:v>Cluster proxy</x:v>
      </x:c>
      <x:c r="O104"/>
      <x:c r="P104" t="str">
        <x:v>NGC</x:v>
      </x:c>
      <x:c r="Q104"/>
      <x:c r="R104" t="str">
        <x:v>Sapphire_Wind</x:v>
      </x:c>
      <x:c r="S104" t="n">
        <x:v>122</x:v>
      </x:c>
      <x:c r="T104" t="str">
        <x:v>Annexure B-1(i)</x:v>
      </x:c>
      <x:c r="U104" t="n">
        <x:v>152</x:v>
      </x:c>
      <x:c r="V104" t="n">
        <x:v>97</x:v>
      </x:c>
      <x:c r="W104" t="str">
        <x:v>Wind farm plotted at common Sindh wind corridor anchor, NOT its precise coordinates.</x:v>
      </x:c>
      <x:c r="X104" s="24" t="n">
        <x:v>30.99</x:v>
      </x:c>
      <x:c r="Y104" s="24" t="n">
        <x:v>30.95</x:v>
      </x:c>
      <x:c r="Z104" s="24" t="n">
        <x:v>30.99</x:v>
      </x:c>
      <x:c r="AA104" s="24" t="n">
        <x:v>30.99</x:v>
      </x:c>
      <x:c r="AB104" s="24" t="n">
        <x:v>30.99</x:v>
      </x:c>
      <x:c r="AC104" s="24" t="n">
        <x:v>30.95</x:v>
      </x:c>
      <x:c r="AD104" s="24" t="n">
        <x:v>30.99</x:v>
      </x:c>
      <x:c r="AE104" s="24" t="n">
        <x:v>30.99</x:v>
      </x:c>
      <x:c r="AF104" s="24" t="n">
        <x:v>30.99</x:v>
      </x:c>
    </x:row>
    <x:row r="105" ht="18" customHeight="1">
      <x:c r="A105" t="str">
        <x:v>B01-102</x:v>
      </x:c>
      <x:c r="B105" t="str">
        <x:v>Tapal Wind-2</x:v>
      </x:c>
      <x:c r="C105" t="str">
        <x:v>Existing (Nov 2024)</x:v>
      </x:c>
      <x:c r="D105" s="26" t="n">
        <x:v>2024</x:v>
      </x:c>
      <x:c r="E105" t="str">
        <x:v>Existing</x:v>
      </x:c>
      <x:c r="F105" t="str">
        <x:v>Wind</x:v>
      </x:c>
      <x:c r="G105" t="str">
        <x:v>Wind</x:v>
      </x:c>
      <x:c r="H105" s="20" t="n">
        <x:v>50</x:v>
      </x:c>
      <x:c r="I105" s="20" t="n">
        <x:v>50</x:v>
      </x:c>
      <x:c r="J105" t="str">
        <x:v>Sindh</x:v>
      </x:c>
      <x:c r="K105" t="str">
        <x:v>Jhimpir–Gharo wind corridor</x:v>
      </x:c>
      <x:c r="L105" s="22" t="n">
        <x:v>25.01</x:v>
      </x:c>
      <x:c r="M105" s="22" t="n">
        <x:v>67.98</x:v>
      </x:c>
      <x:c r="N105" t="str">
        <x:v>Cluster proxy</x:v>
      </x:c>
      <x:c r="O105"/>
      <x:c r="P105" t="str">
        <x:v>NGC</x:v>
      </x:c>
      <x:c r="Q105"/>
      <x:c r="R105"/>
      <x:c r="S105"/>
      <x:c r="T105" t="str">
        <x:v>Annexure B-1(i)</x:v>
      </x:c>
      <x:c r="U105" t="n">
        <x:v>152</x:v>
      </x:c>
      <x:c r="V105" t="n">
        <x:v>97</x:v>
      </x:c>
      <x:c r="W105" t="str">
        <x:v>Wind farm plotted at common Sindh wind corridor anchor, NOT its precise coordinates.</x:v>
      </x:c>
      <x:c r="X105" s="24"/>
      <x:c r="Y105" s="24"/>
      <x:c r="Z105" s="24"/>
      <x:c r="AA105" s="24"/>
      <x:c r="AB105" s="24"/>
      <x:c r="AC105" s="24"/>
      <x:c r="AD105" s="24"/>
      <x:c r="AE105" s="24"/>
      <x:c r="AF105" s="24"/>
    </x:row>
    <x:row r="106" ht="18" customHeight="1">
      <x:c r="A106" t="str">
        <x:v>B01-103</x:v>
      </x:c>
      <x:c r="B106" t="str">
        <x:v>Tenaga</x:v>
      </x:c>
      <x:c r="C106" t="str">
        <x:v>Existing (Nov 2024)</x:v>
      </x:c>
      <x:c r="D106" s="26" t="n">
        <x:v>2024</x:v>
      </x:c>
      <x:c r="E106" t="str">
        <x:v>Existing</x:v>
      </x:c>
      <x:c r="F106" t="str">
        <x:v>Wind</x:v>
      </x:c>
      <x:c r="G106" t="str">
        <x:v>Wind</x:v>
      </x:c>
      <x:c r="H106" s="20" t="n">
        <x:v>50</x:v>
      </x:c>
      <x:c r="I106" s="20" t="n">
        <x:v>50</x:v>
      </x:c>
      <x:c r="J106" t="str">
        <x:v>Sindh</x:v>
      </x:c>
      <x:c r="K106" t="str">
        <x:v>Jhimpir–Gharo wind corridor</x:v>
      </x:c>
      <x:c r="L106" s="22" t="n">
        <x:v>25.01</x:v>
      </x:c>
      <x:c r="M106" s="22" t="n">
        <x:v>67.98</x:v>
      </x:c>
      <x:c r="N106" t="str">
        <x:v>Cluster proxy</x:v>
      </x:c>
      <x:c r="O106"/>
      <x:c r="P106" t="str">
        <x:v>NGC</x:v>
      </x:c>
      <x:c r="Q106"/>
      <x:c r="R106" t="str">
        <x:v>Tenaga</x:v>
      </x:c>
      <x:c r="S106" t="n">
        <x:v>122</x:v>
      </x:c>
      <x:c r="T106" t="str">
        <x:v>Annexure B-1(i)</x:v>
      </x:c>
      <x:c r="U106" t="n">
        <x:v>152</x:v>
      </x:c>
      <x:c r="V106" t="n">
        <x:v>97</x:v>
      </x:c>
      <x:c r="W106" t="str">
        <x:v>Wind farm plotted at common Sindh wind corridor anchor, NOT its precise coordinates.</x:v>
      </x:c>
      <x:c r="X106" s="24" t="n">
        <x:v>30.99</x:v>
      </x:c>
      <x:c r="Y106" s="24" t="n">
        <x:v>30.95</x:v>
      </x:c>
      <x:c r="Z106" s="24" t="n">
        <x:v>30.99</x:v>
      </x:c>
      <x:c r="AA106" s="24" t="n">
        <x:v>30.99</x:v>
      </x:c>
      <x:c r="AB106" s="24" t="n">
        <x:v>30.99</x:v>
      </x:c>
      <x:c r="AC106" s="24" t="n">
        <x:v>30.95</x:v>
      </x:c>
      <x:c r="AD106" s="24" t="n">
        <x:v>30.99</x:v>
      </x:c>
      <x:c r="AE106" s="24" t="n">
        <x:v>30.99</x:v>
      </x:c>
      <x:c r="AF106" s="24" t="n">
        <x:v>30.99</x:v>
      </x:c>
    </x:row>
    <x:row r="107" ht="18" customHeight="1">
      <x:c r="A107" t="str">
        <x:v>B01-104</x:v>
      </x:c>
      <x:c r="B107" t="str">
        <x:v>Three_Gorges_I</x:v>
      </x:c>
      <x:c r="C107" t="str">
        <x:v>Existing (Nov 2024)</x:v>
      </x:c>
      <x:c r="D107" s="26" t="n">
        <x:v>2024</x:v>
      </x:c>
      <x:c r="E107" t="str">
        <x:v>Existing</x:v>
      </x:c>
      <x:c r="F107" t="str">
        <x:v>Wind</x:v>
      </x:c>
      <x:c r="G107" t="str">
        <x:v>Wind</x:v>
      </x:c>
      <x:c r="H107" s="20" t="n">
        <x:v>50</x:v>
      </x:c>
      <x:c r="I107" s="20" t="n">
        <x:v>50</x:v>
      </x:c>
      <x:c r="J107" t="str">
        <x:v>Sindh</x:v>
      </x:c>
      <x:c r="K107" t="str">
        <x:v>Jhimpir–Gharo wind corridor</x:v>
      </x:c>
      <x:c r="L107" s="22" t="n">
        <x:v>25.01</x:v>
      </x:c>
      <x:c r="M107" s="22" t="n">
        <x:v>67.98</x:v>
      </x:c>
      <x:c r="N107" t="str">
        <x:v>Cluster proxy</x:v>
      </x:c>
      <x:c r="O107"/>
      <x:c r="P107" t="str">
        <x:v>NGC</x:v>
      </x:c>
      <x:c r="Q107"/>
      <x:c r="R107" t="str">
        <x:v>Three_Gorges_I</x:v>
      </x:c>
      <x:c r="S107" t="n">
        <x:v>122</x:v>
      </x:c>
      <x:c r="T107" t="str">
        <x:v>Annexure B-1(i)</x:v>
      </x:c>
      <x:c r="U107" t="n">
        <x:v>152</x:v>
      </x:c>
      <x:c r="V107" t="n">
        <x:v>97</x:v>
      </x:c>
      <x:c r="W107" t="str">
        <x:v>Wind farm plotted at common Sindh wind corridor anchor, NOT its precise coordinates.</x:v>
      </x:c>
      <x:c r="X107" s="24" t="n">
        <x:v>31.99</x:v>
      </x:c>
      <x:c r="Y107" s="24" t="n">
        <x:v>31.94</x:v>
      </x:c>
      <x:c r="Z107" s="24" t="n">
        <x:v>31.99</x:v>
      </x:c>
      <x:c r="AA107" s="24" t="n">
        <x:v>31.99</x:v>
      </x:c>
      <x:c r="AB107" s="24" t="n">
        <x:v>31.99</x:v>
      </x:c>
      <x:c r="AC107" s="24" t="n">
        <x:v>31.94</x:v>
      </x:c>
      <x:c r="AD107" s="24" t="n">
        <x:v>31.99</x:v>
      </x:c>
      <x:c r="AE107" s="24" t="n">
        <x:v>31.99</x:v>
      </x:c>
      <x:c r="AF107" s="24" t="n">
        <x:v>31.99</x:v>
      </x:c>
    </x:row>
    <x:row r="108" ht="18" customHeight="1">
      <x:c r="A108" t="str">
        <x:v>B01-105</x:v>
      </x:c>
      <x:c r="B108" t="str">
        <x:v>Three_Gorges_II</x:v>
      </x:c>
      <x:c r="C108" t="str">
        <x:v>Existing (Nov 2024)</x:v>
      </x:c>
      <x:c r="D108" s="26" t="n">
        <x:v>2024</x:v>
      </x:c>
      <x:c r="E108" t="str">
        <x:v>Existing</x:v>
      </x:c>
      <x:c r="F108" t="str">
        <x:v>Wind</x:v>
      </x:c>
      <x:c r="G108" t="str">
        <x:v>Wind</x:v>
      </x:c>
      <x:c r="H108" s="20" t="n">
        <x:v>50</x:v>
      </x:c>
      <x:c r="I108" s="20" t="n">
        <x:v>50</x:v>
      </x:c>
      <x:c r="J108" t="str">
        <x:v>Sindh</x:v>
      </x:c>
      <x:c r="K108" t="str">
        <x:v>Jhimpir–Gharo wind corridor</x:v>
      </x:c>
      <x:c r="L108" s="22" t="n">
        <x:v>25.01</x:v>
      </x:c>
      <x:c r="M108" s="22" t="n">
        <x:v>67.98</x:v>
      </x:c>
      <x:c r="N108" t="str">
        <x:v>Cluster proxy</x:v>
      </x:c>
      <x:c r="O108"/>
      <x:c r="P108" t="str">
        <x:v>NGC</x:v>
      </x:c>
      <x:c r="Q108"/>
      <x:c r="R108" t="str">
        <x:v>Three_Gorges_II</x:v>
      </x:c>
      <x:c r="S108" t="n">
        <x:v>122</x:v>
      </x:c>
      <x:c r="T108" t="str">
        <x:v>Annexure B-1(i)</x:v>
      </x:c>
      <x:c r="U108" t="n">
        <x:v>152</x:v>
      </x:c>
      <x:c r="V108" t="n">
        <x:v>97</x:v>
      </x:c>
      <x:c r="W108" t="str">
        <x:v>Wind farm plotted at common Sindh wind corridor anchor, NOT its precise coordinates.</x:v>
      </x:c>
      <x:c r="X108" s="24" t="n">
        <x:v>34.86</x:v>
      </x:c>
      <x:c r="Y108" s="24" t="n">
        <x:v>34.82</x:v>
      </x:c>
      <x:c r="Z108" s="24" t="n">
        <x:v>34.86</x:v>
      </x:c>
      <x:c r="AA108" s="24" t="n">
        <x:v>34.86</x:v>
      </x:c>
      <x:c r="AB108" s="24" t="n">
        <x:v>34.86</x:v>
      </x:c>
      <x:c r="AC108" s="24" t="n">
        <x:v>34.82</x:v>
      </x:c>
      <x:c r="AD108" s="24" t="n">
        <x:v>34.86</x:v>
      </x:c>
      <x:c r="AE108" s="24" t="n">
        <x:v>34.86</x:v>
      </x:c>
      <x:c r="AF108" s="24" t="n">
        <x:v>34.86</x:v>
      </x:c>
    </x:row>
    <x:row r="109" ht="18" customHeight="1">
      <x:c r="A109" t="str">
        <x:v>B01-106</x:v>
      </x:c>
      <x:c r="B109" t="str">
        <x:v>Three_Gorges_III</x:v>
      </x:c>
      <x:c r="C109" t="str">
        <x:v>Existing (Nov 2024)</x:v>
      </x:c>
      <x:c r="D109" s="26" t="n">
        <x:v>2024</x:v>
      </x:c>
      <x:c r="E109" t="str">
        <x:v>Existing</x:v>
      </x:c>
      <x:c r="F109" t="str">
        <x:v>Wind</x:v>
      </x:c>
      <x:c r="G109" t="str">
        <x:v>Wind</x:v>
      </x:c>
      <x:c r="H109" s="20" t="n">
        <x:v>50</x:v>
      </x:c>
      <x:c r="I109" s="20" t="n">
        <x:v>50</x:v>
      </x:c>
      <x:c r="J109" t="str">
        <x:v>Sindh</x:v>
      </x:c>
      <x:c r="K109" t="str">
        <x:v>Jhimpir–Gharo wind corridor</x:v>
      </x:c>
      <x:c r="L109" s="22" t="n">
        <x:v>25.01</x:v>
      </x:c>
      <x:c r="M109" s="22" t="n">
        <x:v>67.98</x:v>
      </x:c>
      <x:c r="N109" t="str">
        <x:v>Cluster proxy</x:v>
      </x:c>
      <x:c r="O109"/>
      <x:c r="P109" t="str">
        <x:v>NGC</x:v>
      </x:c>
      <x:c r="Q109"/>
      <x:c r="R109" t="str">
        <x:v>Three_Gorges_III</x:v>
      </x:c>
      <x:c r="S109" t="n">
        <x:v>122</x:v>
      </x:c>
      <x:c r="T109" t="str">
        <x:v>Annexure B-1(i)</x:v>
      </x:c>
      <x:c r="U109" t="n">
        <x:v>152</x:v>
      </x:c>
      <x:c r="V109" t="n">
        <x:v>97</x:v>
      </x:c>
      <x:c r="W109" t="str">
        <x:v>Wind farm plotted at common Sindh wind corridor anchor, NOT its precise coordinates.</x:v>
      </x:c>
      <x:c r="X109" s="24" t="n">
        <x:v>34.86</x:v>
      </x:c>
      <x:c r="Y109" s="24" t="n">
        <x:v>34.82</x:v>
      </x:c>
      <x:c r="Z109" s="24" t="n">
        <x:v>34.86</x:v>
      </x:c>
      <x:c r="AA109" s="24" t="n">
        <x:v>34.86</x:v>
      </x:c>
      <x:c r="AB109" s="24" t="n">
        <x:v>34.86</x:v>
      </x:c>
      <x:c r="AC109" s="24" t="n">
        <x:v>34.82</x:v>
      </x:c>
      <x:c r="AD109" s="24" t="n">
        <x:v>34.86</x:v>
      </x:c>
      <x:c r="AE109" s="24" t="n">
        <x:v>34.86</x:v>
      </x:c>
      <x:c r="AF109" s="24" t="n">
        <x:v>34.86</x:v>
      </x:c>
    </x:row>
    <x:row r="110" ht="18" customHeight="1">
      <x:c r="A110" t="str">
        <x:v>B01-107</x:v>
      </x:c>
      <x:c r="B110" t="str">
        <x:v>Tricom</x:v>
      </x:c>
      <x:c r="C110" t="str">
        <x:v>Existing (Nov 2024)</x:v>
      </x:c>
      <x:c r="D110" s="26" t="n">
        <x:v>2024</x:v>
      </x:c>
      <x:c r="E110" t="str">
        <x:v>Existing</x:v>
      </x:c>
      <x:c r="F110" t="str">
        <x:v>Wind</x:v>
      </x:c>
      <x:c r="G110" t="str">
        <x:v>Wind</x:v>
      </x:c>
      <x:c r="H110" s="20" t="n">
        <x:v>50</x:v>
      </x:c>
      <x:c r="I110" s="20" t="n">
        <x:v>50</x:v>
      </x:c>
      <x:c r="J110" t="str">
        <x:v>Sindh</x:v>
      </x:c>
      <x:c r="K110" t="str">
        <x:v>Jhimpir–Gharo wind corridor</x:v>
      </x:c>
      <x:c r="L110" s="22" t="n">
        <x:v>25.01</x:v>
      </x:c>
      <x:c r="M110" s="22" t="n">
        <x:v>67.98</x:v>
      </x:c>
      <x:c r="N110" t="str">
        <x:v>Cluster proxy</x:v>
      </x:c>
      <x:c r="O110"/>
      <x:c r="P110" t="str">
        <x:v>NGC</x:v>
      </x:c>
      <x:c r="Q110"/>
      <x:c r="R110" t="str">
        <x:v>Tricom</x:v>
      </x:c>
      <x:c r="S110" t="n">
        <x:v>122</x:v>
      </x:c>
      <x:c r="T110" t="str">
        <x:v>Annexure B-1(i)</x:v>
      </x:c>
      <x:c r="U110" t="n">
        <x:v>152</x:v>
      </x:c>
      <x:c r="V110" t="n">
        <x:v>97</x:v>
      </x:c>
      <x:c r="W110" t="str">
        <x:v>Wind farm plotted at common Sindh wind corridor anchor, NOT its precise coordinates.</x:v>
      </x:c>
      <x:c r="X110" s="24" t="n">
        <x:v>37.94</x:v>
      </x:c>
      <x:c r="Y110" s="24" t="n">
        <x:v>37.89</x:v>
      </x:c>
      <x:c r="Z110" s="24" t="n">
        <x:v>37.94</x:v>
      </x:c>
      <x:c r="AA110" s="24" t="n">
        <x:v>37.94</x:v>
      </x:c>
      <x:c r="AB110" s="24" t="n">
        <x:v>37.94</x:v>
      </x:c>
      <x:c r="AC110" s="24" t="n">
        <x:v>37.89</x:v>
      </x:c>
      <x:c r="AD110" s="24" t="n">
        <x:v>37.94</x:v>
      </x:c>
      <x:c r="AE110" s="24" t="n">
        <x:v>37.94</x:v>
      </x:c>
      <x:c r="AF110" s="24" t="n">
        <x:v>37.94</x:v>
      </x:c>
    </x:row>
    <x:row r="111" ht="18" customHeight="1">
      <x:c r="A111" t="str">
        <x:v>B01-108</x:v>
      </x:c>
      <x:c r="B111" t="str">
        <x:v>Tricon_A</x:v>
      </x:c>
      <x:c r="C111" t="str">
        <x:v>Existing (Nov 2024)</x:v>
      </x:c>
      <x:c r="D111" s="26" t="n">
        <x:v>2024</x:v>
      </x:c>
      <x:c r="E111" t="str">
        <x:v>Existing</x:v>
      </x:c>
      <x:c r="F111" t="str">
        <x:v>Wind</x:v>
      </x:c>
      <x:c r="G111" t="str">
        <x:v>Wind</x:v>
      </x:c>
      <x:c r="H111" s="20" t="n">
        <x:v>50</x:v>
      </x:c>
      <x:c r="I111" s="20" t="n">
        <x:v>50</x:v>
      </x:c>
      <x:c r="J111" t="str">
        <x:v>Sindh</x:v>
      </x:c>
      <x:c r="K111" t="str">
        <x:v>Jhimpir–Gharo wind corridor</x:v>
      </x:c>
      <x:c r="L111" s="22" t="n">
        <x:v>25.01</x:v>
      </x:c>
      <x:c r="M111" s="22" t="n">
        <x:v>67.98</x:v>
      </x:c>
      <x:c r="N111" t="str">
        <x:v>Cluster proxy</x:v>
      </x:c>
      <x:c r="O111"/>
      <x:c r="P111" t="str">
        <x:v>NGC</x:v>
      </x:c>
      <x:c r="Q111"/>
      <x:c r="R111" t="str">
        <x:v>Tricon_A</x:v>
      </x:c>
      <x:c r="S111" t="n">
        <x:v>122</x:v>
      </x:c>
      <x:c r="T111" t="str">
        <x:v>Annexure B-1(i)</x:v>
      </x:c>
      <x:c r="U111" t="n">
        <x:v>152</x:v>
      </x:c>
      <x:c r="V111" t="n">
        <x:v>97</x:v>
      </x:c>
      <x:c r="W111" t="str">
        <x:v>Wind farm plotted at common Sindh wind corridor anchor, NOT its precise coordinates.</x:v>
      </x:c>
      <x:c r="X111" s="24" t="n">
        <x:v>34.86</x:v>
      </x:c>
      <x:c r="Y111" s="24" t="n">
        <x:v>34.82</x:v>
      </x:c>
      <x:c r="Z111" s="24" t="n">
        <x:v>34.86</x:v>
      </x:c>
      <x:c r="AA111" s="24" t="n">
        <x:v>34.86</x:v>
      </x:c>
      <x:c r="AB111" s="24" t="n">
        <x:v>34.86</x:v>
      </x:c>
      <x:c r="AC111" s="24" t="n">
        <x:v>34.82</x:v>
      </x:c>
      <x:c r="AD111" s="24" t="n">
        <x:v>34.86</x:v>
      </x:c>
      <x:c r="AE111" s="24" t="n">
        <x:v>34.86</x:v>
      </x:c>
      <x:c r="AF111" s="24" t="n">
        <x:v>34.86</x:v>
      </x:c>
    </x:row>
    <x:row r="112" ht="18" customHeight="1">
      <x:c r="A112" t="str">
        <x:v>B01-109</x:v>
      </x:c>
      <x:c r="B112" t="str">
        <x:v>Tricon_B</x:v>
      </x:c>
      <x:c r="C112" t="str">
        <x:v>Existing (Nov 2024)</x:v>
      </x:c>
      <x:c r="D112" s="26" t="n">
        <x:v>2024</x:v>
      </x:c>
      <x:c r="E112" t="str">
        <x:v>Existing</x:v>
      </x:c>
      <x:c r="F112" t="str">
        <x:v>Wind</x:v>
      </x:c>
      <x:c r="G112" t="str">
        <x:v>Wind</x:v>
      </x:c>
      <x:c r="H112" s="20" t="n">
        <x:v>50</x:v>
      </x:c>
      <x:c r="I112" s="20" t="n">
        <x:v>50</x:v>
      </x:c>
      <x:c r="J112" t="str">
        <x:v>Sindh</x:v>
      </x:c>
      <x:c r="K112" t="str">
        <x:v>Jhimpir–Gharo wind corridor</x:v>
      </x:c>
      <x:c r="L112" s="22" t="n">
        <x:v>25.01</x:v>
      </x:c>
      <x:c r="M112" s="22" t="n">
        <x:v>67.98</x:v>
      </x:c>
      <x:c r="N112" t="str">
        <x:v>Cluster proxy</x:v>
      </x:c>
      <x:c r="O112"/>
      <x:c r="P112" t="str">
        <x:v>NGC</x:v>
      </x:c>
      <x:c r="Q112"/>
      <x:c r="R112" t="str">
        <x:v>Tricon_B</x:v>
      </x:c>
      <x:c r="S112" t="n">
        <x:v>122</x:v>
      </x:c>
      <x:c r="T112" t="str">
        <x:v>Annexure B-1(i)</x:v>
      </x:c>
      <x:c r="U112" t="n">
        <x:v>152</x:v>
      </x:c>
      <x:c r="V112" t="n">
        <x:v>97</x:v>
      </x:c>
      <x:c r="W112" t="str">
        <x:v>Wind farm plotted at common Sindh wind corridor anchor, NOT its precise coordinates.</x:v>
      </x:c>
      <x:c r="X112" s="24" t="n">
        <x:v>34.86</x:v>
      </x:c>
      <x:c r="Y112" s="24" t="n">
        <x:v>34.82</x:v>
      </x:c>
      <x:c r="Z112" s="24" t="n">
        <x:v>34.86</x:v>
      </x:c>
      <x:c r="AA112" s="24" t="n">
        <x:v>34.86</x:v>
      </x:c>
      <x:c r="AB112" s="24" t="n">
        <x:v>34.86</x:v>
      </x:c>
      <x:c r="AC112" s="24" t="n">
        <x:v>34.82</x:v>
      </x:c>
      <x:c r="AD112" s="24" t="n">
        <x:v>34.86</x:v>
      </x:c>
      <x:c r="AE112" s="24" t="n">
        <x:v>34.86</x:v>
      </x:c>
      <x:c r="AF112" s="24" t="n">
        <x:v>34.86</x:v>
      </x:c>
    </x:row>
    <x:row r="113" ht="18" customHeight="1">
      <x:c r="A113" t="str">
        <x:v>B01-110</x:v>
      </x:c>
      <x:c r="B113" t="str">
        <x:v>Tricon_C</x:v>
      </x:c>
      <x:c r="C113" t="str">
        <x:v>Existing (Nov 2024)</x:v>
      </x:c>
      <x:c r="D113" s="26" t="n">
        <x:v>2024</x:v>
      </x:c>
      <x:c r="E113" t="str">
        <x:v>Existing</x:v>
      </x:c>
      <x:c r="F113" t="str">
        <x:v>Wind</x:v>
      </x:c>
      <x:c r="G113" t="str">
        <x:v>Wind</x:v>
      </x:c>
      <x:c r="H113" s="20" t="n">
        <x:v>50</x:v>
      </x:c>
      <x:c r="I113" s="20" t="n">
        <x:v>50</x:v>
      </x:c>
      <x:c r="J113" t="str">
        <x:v>Sindh</x:v>
      </x:c>
      <x:c r="K113" t="str">
        <x:v>Jhimpir–Gharo wind corridor</x:v>
      </x:c>
      <x:c r="L113" s="22" t="n">
        <x:v>25.01</x:v>
      </x:c>
      <x:c r="M113" s="22" t="n">
        <x:v>67.98</x:v>
      </x:c>
      <x:c r="N113" t="str">
        <x:v>Cluster proxy</x:v>
      </x:c>
      <x:c r="O113"/>
      <x:c r="P113" t="str">
        <x:v>NGC</x:v>
      </x:c>
      <x:c r="Q113"/>
      <x:c r="R113" t="str">
        <x:v>Tricon_C</x:v>
      </x:c>
      <x:c r="S113" t="n">
        <x:v>122</x:v>
      </x:c>
      <x:c r="T113" t="str">
        <x:v>Annexure B-1(i)</x:v>
      </x:c>
      <x:c r="U113" t="n">
        <x:v>152</x:v>
      </x:c>
      <x:c r="V113" t="n">
        <x:v>97</x:v>
      </x:c>
      <x:c r="W113" t="str">
        <x:v>Wind farm plotted at common Sindh wind corridor anchor, NOT its precise coordinates.</x:v>
      </x:c>
      <x:c r="X113" s="24" t="n">
        <x:v>34.86</x:v>
      </x:c>
      <x:c r="Y113" s="24" t="n">
        <x:v>34.82</x:v>
      </x:c>
      <x:c r="Z113" s="24" t="n">
        <x:v>34.86</x:v>
      </x:c>
      <x:c r="AA113" s="24" t="n">
        <x:v>34.86</x:v>
      </x:c>
      <x:c r="AB113" s="24" t="n">
        <x:v>34.86</x:v>
      </x:c>
      <x:c r="AC113" s="24" t="n">
        <x:v>34.82</x:v>
      </x:c>
      <x:c r="AD113" s="24" t="n">
        <x:v>34.86</x:v>
      </x:c>
      <x:c r="AE113" s="24" t="n">
        <x:v>34.86</x:v>
      </x:c>
      <x:c r="AF113" s="24" t="n">
        <x:v>34.86</x:v>
      </x:c>
    </x:row>
    <x:row r="114" ht="18" customHeight="1">
      <x:c r="A114" t="str">
        <x:v>B01-111</x:v>
      </x:c>
      <x:c r="B114" t="str">
        <x:v>UEP</x:v>
      </x:c>
      <x:c r="C114" t="str">
        <x:v>Existing (Nov 2024)</x:v>
      </x:c>
      <x:c r="D114" s="26" t="n">
        <x:v>2024</x:v>
      </x:c>
      <x:c r="E114" t="str">
        <x:v>Existing</x:v>
      </x:c>
      <x:c r="F114" t="str">
        <x:v>Wind</x:v>
      </x:c>
      <x:c r="G114" t="str">
        <x:v>Wind</x:v>
      </x:c>
      <x:c r="H114" s="20" t="n">
        <x:v>99</x:v>
      </x:c>
      <x:c r="I114" s="20" t="n">
        <x:v>99</x:v>
      </x:c>
      <x:c r="J114" t="str">
        <x:v>Sindh</x:v>
      </x:c>
      <x:c r="K114" t="str">
        <x:v>Jhimpir–Gharo wind corridor</x:v>
      </x:c>
      <x:c r="L114" s="22" t="n">
        <x:v>25.01</x:v>
      </x:c>
      <x:c r="M114" s="22" t="n">
        <x:v>67.98</x:v>
      </x:c>
      <x:c r="N114" t="str">
        <x:v>Cluster proxy</x:v>
      </x:c>
      <x:c r="O114"/>
      <x:c r="P114" t="str">
        <x:v>NGC</x:v>
      </x:c>
      <x:c r="Q114"/>
      <x:c r="R114" t="str">
        <x:v>UEP</x:v>
      </x:c>
      <x:c r="S114" t="n">
        <x:v>122</x:v>
      </x:c>
      <x:c r="T114" t="str">
        <x:v>Annexure B-1(i)</x:v>
      </x:c>
      <x:c r="U114" t="n">
        <x:v>152</x:v>
      </x:c>
      <x:c r="V114" t="n">
        <x:v>97</x:v>
      </x:c>
      <x:c r="W114" t="str">
        <x:v>Wind farm plotted at common Sindh wind corridor anchor, NOT its precise coordinates.</x:v>
      </x:c>
      <x:c r="X114" s="24" t="n">
        <x:v>30.99</x:v>
      </x:c>
      <x:c r="Y114" s="24" t="n">
        <x:v>30.95</x:v>
      </x:c>
      <x:c r="Z114" s="24" t="n">
        <x:v>30.99</x:v>
      </x:c>
      <x:c r="AA114" s="24" t="n">
        <x:v>30.99</x:v>
      </x:c>
      <x:c r="AB114" s="24" t="n">
        <x:v>30.99</x:v>
      </x:c>
      <x:c r="AC114" s="24" t="n">
        <x:v>30.95</x:v>
      </x:c>
      <x:c r="AD114" s="24" t="n">
        <x:v>30.99</x:v>
      </x:c>
      <x:c r="AE114" s="24" t="n">
        <x:v>30.99</x:v>
      </x:c>
      <x:c r="AF114" s="24" t="n">
        <x:v>30.99</x:v>
      </x:c>
    </x:row>
    <x:row r="115" ht="18" customHeight="1">
      <x:c r="A115" t="str">
        <x:v>B01-112</x:v>
      </x:c>
      <x:c r="B115" t="str">
        <x:v>Yunus</x:v>
      </x:c>
      <x:c r="C115" t="str">
        <x:v>Existing (Nov 2024)</x:v>
      </x:c>
      <x:c r="D115" s="26" t="n">
        <x:v>2024</x:v>
      </x:c>
      <x:c r="E115" t="str">
        <x:v>Existing</x:v>
      </x:c>
      <x:c r="F115" t="str">
        <x:v>Wind</x:v>
      </x:c>
      <x:c r="G115" t="str">
        <x:v>Wind</x:v>
      </x:c>
      <x:c r="H115" s="20" t="n">
        <x:v>50</x:v>
      </x:c>
      <x:c r="I115" s="20" t="n">
        <x:v>50</x:v>
      </x:c>
      <x:c r="J115" t="str">
        <x:v>Sindh</x:v>
      </x:c>
      <x:c r="K115" t="str">
        <x:v>Jhimpir–Gharo wind corridor</x:v>
      </x:c>
      <x:c r="L115" s="22" t="n">
        <x:v>25.01</x:v>
      </x:c>
      <x:c r="M115" s="22" t="n">
        <x:v>67.98</x:v>
      </x:c>
      <x:c r="N115" t="str">
        <x:v>Cluster proxy</x:v>
      </x:c>
      <x:c r="O115"/>
      <x:c r="P115" t="str">
        <x:v>NGC</x:v>
      </x:c>
      <x:c r="Q115"/>
      <x:c r="R115" t="str">
        <x:v>Yunus</x:v>
      </x:c>
      <x:c r="S115" t="n">
        <x:v>122</x:v>
      </x:c>
      <x:c r="T115" t="str">
        <x:v>Annexure B-1(i)</x:v>
      </x:c>
      <x:c r="U115" t="n">
        <x:v>152</x:v>
      </x:c>
      <x:c r="V115" t="n">
        <x:v>97</x:v>
      </x:c>
      <x:c r="W115" t="str">
        <x:v>Wind farm plotted at common Sindh wind corridor anchor, NOT its precise coordinates.</x:v>
      </x:c>
      <x:c r="X115" s="24" t="n">
        <x:v>30.99</x:v>
      </x:c>
      <x:c r="Y115" s="24" t="n">
        <x:v>30.95</x:v>
      </x:c>
      <x:c r="Z115" s="24" t="n">
        <x:v>30.99</x:v>
      </x:c>
      <x:c r="AA115" s="24" t="n">
        <x:v>30.99</x:v>
      </x:c>
      <x:c r="AB115" s="24" t="n">
        <x:v>30.99</x:v>
      </x:c>
      <x:c r="AC115" s="24" t="n">
        <x:v>30.95</x:v>
      </x:c>
      <x:c r="AD115" s="24" t="n">
        <x:v>30.99</x:v>
      </x:c>
      <x:c r="AE115" s="24" t="n">
        <x:v>30.99</x:v>
      </x:c>
      <x:c r="AF115" s="24" t="n">
        <x:v>30.99</x:v>
      </x:c>
    </x:row>
    <x:row r="116" ht="18" customHeight="1">
      <x:c r="A116" t="str">
        <x:v>B01-113</x:v>
      </x:c>
      <x:c r="B116" t="str">
        <x:v>Zephyr</x:v>
      </x:c>
      <x:c r="C116" t="str">
        <x:v>Existing (Nov 2024)</x:v>
      </x:c>
      <x:c r="D116" s="26" t="n">
        <x:v>2024</x:v>
      </x:c>
      <x:c r="E116" t="str">
        <x:v>Existing</x:v>
      </x:c>
      <x:c r="F116" t="str">
        <x:v>Wind</x:v>
      </x:c>
      <x:c r="G116" t="str">
        <x:v>Wind</x:v>
      </x:c>
      <x:c r="H116" s="20" t="n">
        <x:v>50</x:v>
      </x:c>
      <x:c r="I116" s="20" t="n">
        <x:v>50</x:v>
      </x:c>
      <x:c r="J116" t="str">
        <x:v>Sindh</x:v>
      </x:c>
      <x:c r="K116" t="str">
        <x:v>Jhimpir–Gharo wind corridor</x:v>
      </x:c>
      <x:c r="L116" s="22" t="n">
        <x:v>25.01</x:v>
      </x:c>
      <x:c r="M116" s="22" t="n">
        <x:v>67.98</x:v>
      </x:c>
      <x:c r="N116" t="str">
        <x:v>Cluster proxy</x:v>
      </x:c>
      <x:c r="O116"/>
      <x:c r="P116" t="str">
        <x:v>NGC</x:v>
      </x:c>
      <x:c r="Q116"/>
      <x:c r="R116" t="str">
        <x:v>Zephyr</x:v>
      </x:c>
      <x:c r="S116" t="n">
        <x:v>122</x:v>
      </x:c>
      <x:c r="T116" t="str">
        <x:v>Annexure B-1(i)</x:v>
      </x:c>
      <x:c r="U116" t="n">
        <x:v>152</x:v>
      </x:c>
      <x:c r="V116" t="n">
        <x:v>97</x:v>
      </x:c>
      <x:c r="W116" t="str">
        <x:v>Wind farm plotted at common Sindh wind corridor anchor, NOT its precise coordinates.</x:v>
      </x:c>
      <x:c r="X116" s="24" t="n">
        <x:v>34.86</x:v>
      </x:c>
      <x:c r="Y116" s="24" t="n">
        <x:v>34.82</x:v>
      </x:c>
      <x:c r="Z116" s="24" t="n">
        <x:v>34.86</x:v>
      </x:c>
      <x:c r="AA116" s="24" t="n">
        <x:v>34.86</x:v>
      </x:c>
      <x:c r="AB116" s="24" t="n">
        <x:v>34.86</x:v>
      </x:c>
      <x:c r="AC116" s="24" t="n">
        <x:v>34.82</x:v>
      </x:c>
      <x:c r="AD116" s="24" t="n">
        <x:v>34.86</x:v>
      </x:c>
      <x:c r="AE116" s="24" t="n">
        <x:v>34.86</x:v>
      </x:c>
      <x:c r="AF116" s="24" t="n">
        <x:v>34.86</x:v>
      </x:c>
    </x:row>
    <x:row r="117" ht="18" customHeight="1">
      <x:c r="A117" t="str">
        <x:v>B01-114</x:v>
      </x:c>
      <x:c r="B117" t="str">
        <x:v>Zorlu_Wind</x:v>
      </x:c>
      <x:c r="C117" t="str">
        <x:v>Existing (Nov 2024)</x:v>
      </x:c>
      <x:c r="D117" s="26" t="n">
        <x:v>2024</x:v>
      </x:c>
      <x:c r="E117" t="str">
        <x:v>Existing</x:v>
      </x:c>
      <x:c r="F117" t="str">
        <x:v>Wind</x:v>
      </x:c>
      <x:c r="G117" t="str">
        <x:v>Wind</x:v>
      </x:c>
      <x:c r="H117" s="20" t="n">
        <x:v>56</x:v>
      </x:c>
      <x:c r="I117" s="20" t="n">
        <x:v>56</x:v>
      </x:c>
      <x:c r="J117" t="str">
        <x:v>Sindh</x:v>
      </x:c>
      <x:c r="K117" t="str">
        <x:v>Jhimpir–Gharo wind corridor</x:v>
      </x:c>
      <x:c r="L117" s="22" t="n">
        <x:v>25.01</x:v>
      </x:c>
      <x:c r="M117" s="22" t="n">
        <x:v>67.98</x:v>
      </x:c>
      <x:c r="N117" t="str">
        <x:v>Cluster proxy</x:v>
      </x:c>
      <x:c r="O117"/>
      <x:c r="P117" t="str">
        <x:v>NGC</x:v>
      </x:c>
      <x:c r="Q117"/>
      <x:c r="R117" t="str">
        <x:v>Zorlu_Wind</x:v>
      </x:c>
      <x:c r="S117" t="n">
        <x:v>122</x:v>
      </x:c>
      <x:c r="T117" t="str">
        <x:v>Annexure B-1(i)</x:v>
      </x:c>
      <x:c r="U117" t="n">
        <x:v>152</x:v>
      </x:c>
      <x:c r="V117" t="n">
        <x:v>97</x:v>
      </x:c>
      <x:c r="W117" t="str">
        <x:v>Wind farm plotted at common Sindh wind corridor anchor, NOT its precise coordinates.</x:v>
      </x:c>
      <x:c r="X117" s="24" t="n">
        <x:v>31.99</x:v>
      </x:c>
      <x:c r="Y117" s="24" t="n">
        <x:v>31.8</x:v>
      </x:c>
      <x:c r="Z117" s="24" t="n">
        <x:v>31.85</x:v>
      </x:c>
      <x:c r="AA117" s="24" t="n">
        <x:v>31.85</x:v>
      </x:c>
      <x:c r="AB117" s="24" t="n">
        <x:v>31.69</x:v>
      </x:c>
      <x:c r="AC117" s="24" t="n">
        <x:v>31.64</x:v>
      </x:c>
      <x:c r="AD117" s="24" t="n">
        <x:v>31.69</x:v>
      </x:c>
      <x:c r="AE117" s="24" t="n">
        <x:v>31.69</x:v>
      </x:c>
      <x:c r="AF117" s="24" t="n">
        <x:v>31.69</x:v>
      </x:c>
    </x:row>
    <x:row r="118" ht="18" customHeight="1">
      <x:c r="A118" t="str">
        <x:v>B01-115</x:v>
      </x:c>
      <x:c r="B118" t="str">
        <x:v>Liberty Wind-II</x:v>
      </x:c>
      <x:c r="C118" t="str">
        <x:v>Existing (Nov 2024)</x:v>
      </x:c>
      <x:c r="D118" s="26" t="n">
        <x:v>2024</x:v>
      </x:c>
      <x:c r="E118" t="str">
        <x:v>Existing</x:v>
      </x:c>
      <x:c r="F118" t="str">
        <x:v>Wind</x:v>
      </x:c>
      <x:c r="G118" t="str">
        <x:v>Wind</x:v>
      </x:c>
      <x:c r="H118" s="20" t="n">
        <x:v>50</x:v>
      </x:c>
      <x:c r="I118" s="20" t="n">
        <x:v>50</x:v>
      </x:c>
      <x:c r="J118" t="str">
        <x:v>Sindh</x:v>
      </x:c>
      <x:c r="K118" t="str">
        <x:v>Jhimpir–Gharo wind corridor</x:v>
      </x:c>
      <x:c r="L118" s="22" t="n">
        <x:v>25.01</x:v>
      </x:c>
      <x:c r="M118" s="22" t="n">
        <x:v>67.98</x:v>
      </x:c>
      <x:c r="N118" t="str">
        <x:v>Cluster proxy</x:v>
      </x:c>
      <x:c r="O118"/>
      <x:c r="P118" t="str">
        <x:v>NGC</x:v>
      </x:c>
      <x:c r="Q118"/>
      <x:c r="R118"/>
      <x:c r="S118"/>
      <x:c r="T118" t="str">
        <x:v>Annexure B-1(i)</x:v>
      </x:c>
      <x:c r="U118" t="n">
        <x:v>152</x:v>
      </x:c>
      <x:c r="V118" t="n">
        <x:v>97</x:v>
      </x:c>
      <x:c r="W118" t="str">
        <x:v>Wind farm plotted at common Sindh wind corridor anchor, NOT its precise coordinates.</x:v>
      </x:c>
      <x:c r="X118" s="24"/>
      <x:c r="Y118" s="24"/>
      <x:c r="Z118" s="24"/>
      <x:c r="AA118" s="24"/>
      <x:c r="AB118" s="24"/>
      <x:c r="AC118" s="24"/>
      <x:c r="AD118" s="24"/>
      <x:c r="AE118" s="24"/>
      <x:c r="AF118" s="24"/>
    </x:row>
    <x:row r="119" ht="18" customHeight="1">
      <x:c r="A119" t="str">
        <x:v>B01-116</x:v>
      </x:c>
      <x:c r="B119" t="str">
        <x:v>Helios</x:v>
      </x:c>
      <x:c r="C119" t="str">
        <x:v>Existing (Nov 2024)</x:v>
      </x:c>
      <x:c r="D119" s="26" t="n">
        <x:v>2024</x:v>
      </x:c>
      <x:c r="E119" t="str">
        <x:v>Existing</x:v>
      </x:c>
      <x:c r="F119" t="str">
        <x:v>Solar PV</x:v>
      </x:c>
      <x:c r="G119" t="str">
        <x:v>Solar PV</x:v>
      </x:c>
      <x:c r="H119" s="20" t="n">
        <x:v>50</x:v>
      </x:c>
      <x:c r="I119" s="20" t="n">
        <x:v>50</x:v>
      </x:c>
      <x:c r="J119" t="str">
        <x:v>Unspecified / distributed</x:v>
      </x:c>
      <x:c r="K119"/>
      <x:c r="L119" s="22"/>
      <x:c r="M119" s="22"/>
      <x:c r="N119" t="str">
        <x:v>Not located in IGCEP</x:v>
      </x:c>
      <x:c r="O119"/>
      <x:c r="P119" t="str">
        <x:v>NGC</x:v>
      </x:c>
      <x:c r="Q119"/>
      <x:c r="R119" t="str">
        <x:v>Helios</x:v>
      </x:c>
      <x:c r="S119" t="n">
        <x:v>121</x:v>
      </x:c>
      <x:c r="T119" t="str">
        <x:v>Annexure B-1(i)</x:v>
      </x:c>
      <x:c r="U119" t="n">
        <x:v>152</x:v>
      </x:c>
      <x:c r="V119" t="n">
        <x:v>97</x:v>
      </x:c>
      <x:c r="W119" t="str">
        <x:v>Plant coordinates are not provided in the IGCEP; plotted coordinates are indicative.</x:v>
      </x:c>
      <x:c r="X119" s="24" t="n">
        <x:v>22.03</x:v>
      </x:c>
      <x:c r="Y119" s="24" t="n">
        <x:v>22</x:v>
      </x:c>
      <x:c r="Z119" s="24" t="n">
        <x:v>22.03</x:v>
      </x:c>
      <x:c r="AA119" s="24" t="n">
        <x:v>22.03</x:v>
      </x:c>
      <x:c r="AB119" s="24" t="n">
        <x:v>22.03</x:v>
      </x:c>
      <x:c r="AC119" s="24" t="n">
        <x:v>22</x:v>
      </x:c>
      <x:c r="AD119" s="24" t="n">
        <x:v>22.03</x:v>
      </x:c>
      <x:c r="AE119" s="24" t="n">
        <x:v>22.03</x:v>
      </x:c>
      <x:c r="AF119" s="24" t="n">
        <x:v>22.03</x:v>
      </x:c>
    </x:row>
    <x:row r="120" ht="18" customHeight="1">
      <x:c r="A120" t="str">
        <x:v>B01-117</x:v>
      </x:c>
      <x:c r="B120" t="str">
        <x:v>HNDS</x:v>
      </x:c>
      <x:c r="C120" t="str">
        <x:v>Existing (Nov 2024)</x:v>
      </x:c>
      <x:c r="D120" s="26" t="n">
        <x:v>2024</x:v>
      </x:c>
      <x:c r="E120" t="str">
        <x:v>Existing</x:v>
      </x:c>
      <x:c r="F120" t="str">
        <x:v>Solar PV</x:v>
      </x:c>
      <x:c r="G120" t="str">
        <x:v>Solar PV</x:v>
      </x:c>
      <x:c r="H120" s="20" t="n">
        <x:v>50</x:v>
      </x:c>
      <x:c r="I120" s="20" t="n">
        <x:v>50</x:v>
      </x:c>
      <x:c r="J120" t="str">
        <x:v>Unspecified / distributed</x:v>
      </x:c>
      <x:c r="K120"/>
      <x:c r="L120" s="22"/>
      <x:c r="M120" s="22"/>
      <x:c r="N120" t="str">
        <x:v>Not located in IGCEP</x:v>
      </x:c>
      <x:c r="O120"/>
      <x:c r="P120" t="str">
        <x:v>NGC</x:v>
      </x:c>
      <x:c r="Q120"/>
      <x:c r="R120" t="str">
        <x:v>HNDS</x:v>
      </x:c>
      <x:c r="S120" t="n">
        <x:v>121</x:v>
      </x:c>
      <x:c r="T120" t="str">
        <x:v>Annexure B-1(i)</x:v>
      </x:c>
      <x:c r="U120" t="n">
        <x:v>152</x:v>
      </x:c>
      <x:c r="V120" t="n">
        <x:v>97</x:v>
      </x:c>
      <x:c r="W120" t="str">
        <x:v>Plant coordinates are not provided in the IGCEP; plotted coordinates are indicative.</x:v>
      </x:c>
      <x:c r="X120" s="24" t="n">
        <x:v>22.03</x:v>
      </x:c>
      <x:c r="Y120" s="24" t="n">
        <x:v>22</x:v>
      </x:c>
      <x:c r="Z120" s="24" t="n">
        <x:v>22.03</x:v>
      </x:c>
      <x:c r="AA120" s="24" t="n">
        <x:v>22.03</x:v>
      </x:c>
      <x:c r="AB120" s="24" t="n">
        <x:v>22.03</x:v>
      </x:c>
      <x:c r="AC120" s="24" t="n">
        <x:v>22</x:v>
      </x:c>
      <x:c r="AD120" s="24" t="n">
        <x:v>22.03</x:v>
      </x:c>
      <x:c r="AE120" s="24" t="n">
        <x:v>22.03</x:v>
      </x:c>
      <x:c r="AF120" s="24" t="n">
        <x:v>22.03</x:v>
      </x:c>
    </x:row>
    <x:row r="121" ht="18" customHeight="1">
      <x:c r="A121" t="str">
        <x:v>B01-118</x:v>
      </x:c>
      <x:c r="B121" t="str">
        <x:v>Meridian</x:v>
      </x:c>
      <x:c r="C121" t="str">
        <x:v>Existing (Nov 2024)</x:v>
      </x:c>
      <x:c r="D121" s="26" t="n">
        <x:v>2024</x:v>
      </x:c>
      <x:c r="E121" t="str">
        <x:v>Existing</x:v>
      </x:c>
      <x:c r="F121" t="str">
        <x:v>Solar PV</x:v>
      </x:c>
      <x:c r="G121" t="str">
        <x:v>Solar PV</x:v>
      </x:c>
      <x:c r="H121" s="20" t="n">
        <x:v>50</x:v>
      </x:c>
      <x:c r="I121" s="20" t="n">
        <x:v>50</x:v>
      </x:c>
      <x:c r="J121" t="str">
        <x:v>Unspecified / distributed</x:v>
      </x:c>
      <x:c r="K121"/>
      <x:c r="L121" s="22"/>
      <x:c r="M121" s="22"/>
      <x:c r="N121" t="str">
        <x:v>Not located in IGCEP</x:v>
      </x:c>
      <x:c r="O121"/>
      <x:c r="P121" t="str">
        <x:v>NGC</x:v>
      </x:c>
      <x:c r="Q121"/>
      <x:c r="R121" t="str">
        <x:v>Meridian</x:v>
      </x:c>
      <x:c r="S121" t="n">
        <x:v>121</x:v>
      </x:c>
      <x:c r="T121" t="str">
        <x:v>Annexure B-1(i)</x:v>
      </x:c>
      <x:c r="U121" t="n">
        <x:v>152</x:v>
      </x:c>
      <x:c r="V121" t="n">
        <x:v>97</x:v>
      </x:c>
      <x:c r="W121" t="str">
        <x:v>Plant coordinates are not provided in the IGCEP; plotted coordinates are indicative.</x:v>
      </x:c>
      <x:c r="X121" s="24" t="n">
        <x:v>22.03</x:v>
      </x:c>
      <x:c r="Y121" s="24" t="n">
        <x:v>22</x:v>
      </x:c>
      <x:c r="Z121" s="24" t="n">
        <x:v>22.03</x:v>
      </x:c>
      <x:c r="AA121" s="24" t="n">
        <x:v>22.03</x:v>
      </x:c>
      <x:c r="AB121" s="24" t="n">
        <x:v>22.03</x:v>
      </x:c>
      <x:c r="AC121" s="24" t="n">
        <x:v>22</x:v>
      </x:c>
      <x:c r="AD121" s="24" t="n">
        <x:v>22.03</x:v>
      </x:c>
      <x:c r="AE121" s="24" t="n">
        <x:v>22.03</x:v>
      </x:c>
      <x:c r="AF121" s="24" t="n">
        <x:v>22.03</x:v>
      </x:c>
    </x:row>
    <x:row r="122" ht="18" customHeight="1">
      <x:c r="A122" t="str">
        <x:v>B01-119</x:v>
      </x:c>
      <x:c r="B122" t="str">
        <x:v>Appolo Solar</x:v>
      </x:c>
      <x:c r="C122" t="str">
        <x:v>Existing (Nov 2024)</x:v>
      </x:c>
      <x:c r="D122" s="26" t="n">
        <x:v>2024</x:v>
      </x:c>
      <x:c r="E122" t="str">
        <x:v>Existing</x:v>
      </x:c>
      <x:c r="F122" t="str">
        <x:v>Solar PV</x:v>
      </x:c>
      <x:c r="G122" t="str">
        <x:v>Solar PV</x:v>
      </x:c>
      <x:c r="H122" s="20" t="n">
        <x:v>100</x:v>
      </x:c>
      <x:c r="I122" s="20" t="n">
        <x:v>100</x:v>
      </x:c>
      <x:c r="J122" t="str">
        <x:v>Unspecified / distributed</x:v>
      </x:c>
      <x:c r="K122"/>
      <x:c r="L122" s="22"/>
      <x:c r="M122" s="22"/>
      <x:c r="N122" t="str">
        <x:v>Not located in IGCEP</x:v>
      </x:c>
      <x:c r="O122"/>
      <x:c r="P122" t="str">
        <x:v>NGC</x:v>
      </x:c>
      <x:c r="Q122"/>
      <x:c r="R122"/>
      <x:c r="S122"/>
      <x:c r="T122" t="str">
        <x:v>Annexure B-1(i)</x:v>
      </x:c>
      <x:c r="U122" t="n">
        <x:v>152</x:v>
      </x:c>
      <x:c r="V122" t="n">
        <x:v>97</x:v>
      </x:c>
      <x:c r="W122" t="str">
        <x:v>Plant coordinates are not provided in the IGCEP; plotted coordinates are indicative.</x:v>
      </x:c>
      <x:c r="X122" s="24"/>
      <x:c r="Y122" s="24"/>
      <x:c r="Z122" s="24"/>
      <x:c r="AA122" s="24"/>
      <x:c r="AB122" s="24"/>
      <x:c r="AC122" s="24"/>
      <x:c r="AD122" s="24"/>
      <x:c r="AE122" s="24"/>
      <x:c r="AF122" s="24"/>
    </x:row>
    <x:row r="123" ht="18" customHeight="1">
      <x:c r="A123" t="str">
        <x:v>B01-120</x:v>
      </x:c>
      <x:c r="B123" t="str">
        <x:v>Best</x:v>
      </x:c>
      <x:c r="C123" t="str">
        <x:v>Existing (Nov 2024)</x:v>
      </x:c>
      <x:c r="D123" s="26" t="n">
        <x:v>2024</x:v>
      </x:c>
      <x:c r="E123" t="str">
        <x:v>Existing</x:v>
      </x:c>
      <x:c r="F123" t="str">
        <x:v>Solar PV</x:v>
      </x:c>
      <x:c r="G123" t="str">
        <x:v>Solar PV</x:v>
      </x:c>
      <x:c r="H123" s="20" t="n">
        <x:v>100</x:v>
      </x:c>
      <x:c r="I123" s="20" t="n">
        <x:v>100</x:v>
      </x:c>
      <x:c r="J123" t="str">
        <x:v>Unspecified / distributed</x:v>
      </x:c>
      <x:c r="K123"/>
      <x:c r="L123" s="22"/>
      <x:c r="M123" s="22"/>
      <x:c r="N123" t="str">
        <x:v>Not located in IGCEP</x:v>
      </x:c>
      <x:c r="O123"/>
      <x:c r="P123" t="str">
        <x:v>NGC</x:v>
      </x:c>
      <x:c r="Q123"/>
      <x:c r="R123" t="str">
        <x:v>Best</x:v>
      </x:c>
      <x:c r="S123" t="n">
        <x:v>121</x:v>
      </x:c>
      <x:c r="T123" t="str">
        <x:v>Annexure B-1(i)</x:v>
      </x:c>
      <x:c r="U123" t="n">
        <x:v>152</x:v>
      </x:c>
      <x:c r="V123" t="n">
        <x:v>97</x:v>
      </x:c>
      <x:c r="W123" t="str">
        <x:v>Plant coordinates are not provided in the IGCEP; plotted coordinates are indicative.</x:v>
      </x:c>
      <x:c r="X123" s="24" t="n">
        <x:v>18.57</x:v>
      </x:c>
      <x:c r="Y123" s="24" t="n">
        <x:v>18.53</x:v>
      </x:c>
      <x:c r="Z123" s="24" t="n">
        <x:v>18.57</x:v>
      </x:c>
      <x:c r="AA123" s="24" t="n">
        <x:v>18.53</x:v>
      </x:c>
      <x:c r="AB123" s="24" t="n">
        <x:v>18.26</x:v>
      </x:c>
      <x:c r="AC123" s="24" t="n">
        <x:v>18.26</x:v>
      </x:c>
      <x:c r="AD123" s="24" t="n">
        <x:v>17.99</x:v>
      </x:c>
      <x:c r="AE123" s="24" t="n">
        <x:v>17.99</x:v>
      </x:c>
      <x:c r="AF123" s="24" t="n">
        <x:v>18.43</x:v>
      </x:c>
    </x:row>
    <x:row r="124" ht="18" customHeight="1">
      <x:c r="A124" t="str">
        <x:v>B01-121</x:v>
      </x:c>
      <x:c r="B124" t="str">
        <x:v>Crest</x:v>
      </x:c>
      <x:c r="C124" t="str">
        <x:v>Existing (Nov 2024)</x:v>
      </x:c>
      <x:c r="D124" s="26" t="n">
        <x:v>2024</x:v>
      </x:c>
      <x:c r="E124" t="str">
        <x:v>Existing</x:v>
      </x:c>
      <x:c r="F124" t="str">
        <x:v>Solar PV</x:v>
      </x:c>
      <x:c r="G124" t="str">
        <x:v>Solar PV</x:v>
      </x:c>
      <x:c r="H124" s="20" t="n">
        <x:v>100</x:v>
      </x:c>
      <x:c r="I124" s="20" t="n">
        <x:v>100</x:v>
      </x:c>
      <x:c r="J124" t="str">
        <x:v>Unspecified / distributed</x:v>
      </x:c>
      <x:c r="K124"/>
      <x:c r="L124" s="22"/>
      <x:c r="M124" s="22"/>
      <x:c r="N124" t="str">
        <x:v>Not located in IGCEP</x:v>
      </x:c>
      <x:c r="O124"/>
      <x:c r="P124" t="str">
        <x:v>NGC</x:v>
      </x:c>
      <x:c r="Q124"/>
      <x:c r="R124" t="str">
        <x:v>Crest</x:v>
      </x:c>
      <x:c r="S124" t="n">
        <x:v>121</x:v>
      </x:c>
      <x:c r="T124" t="str">
        <x:v>Annexure B-1(i)</x:v>
      </x:c>
      <x:c r="U124" t="n">
        <x:v>152</x:v>
      </x:c>
      <x:c r="V124" t="n">
        <x:v>97</x:v>
      </x:c>
      <x:c r="W124" t="str">
        <x:v>Plant coordinates are not provided in the IGCEP; plotted coordinates are indicative.</x:v>
      </x:c>
      <x:c r="X124" s="24" t="n">
        <x:v>18.82</x:v>
      </x:c>
      <x:c r="Y124" s="24" t="n">
        <x:v>18.78</x:v>
      </x:c>
      <x:c r="Z124" s="24" t="n">
        <x:v>18.77</x:v>
      </x:c>
      <x:c r="AA124" s="24" t="n">
        <x:v>18.77</x:v>
      </x:c>
      <x:c r="AB124" s="24" t="n">
        <x:v>18.51</x:v>
      </x:c>
      <x:c r="AC124" s="24" t="n">
        <x:v>18.26</x:v>
      </x:c>
      <x:c r="AD124" s="24" t="n">
        <x:v>18.25</x:v>
      </x:c>
      <x:c r="AE124" s="24" t="n">
        <x:v>18.25</x:v>
      </x:c>
      <x:c r="AF124" s="24" t="n">
        <x:v>18.56</x:v>
      </x:c>
    </x:row>
    <x:row r="125" ht="18" customHeight="1">
      <x:c r="A125" t="str">
        <x:v>B01-122</x:v>
      </x:c>
      <x:c r="B125" t="str">
        <x:v>QA_Solar</x:v>
      </x:c>
      <x:c r="C125" t="str">
        <x:v>Existing (Nov 2024)</x:v>
      </x:c>
      <x:c r="D125" s="26" t="n">
        <x:v>2024</x:v>
      </x:c>
      <x:c r="E125" t="str">
        <x:v>Existing</x:v>
      </x:c>
      <x:c r="F125" t="str">
        <x:v>Solar PV</x:v>
      </x:c>
      <x:c r="G125" t="str">
        <x:v>Solar PV</x:v>
      </x:c>
      <x:c r="H125" s="20" t="n">
        <x:v>100</x:v>
      </x:c>
      <x:c r="I125" s="20" t="n">
        <x:v>100</x:v>
      </x:c>
      <x:c r="J125" t="str">
        <x:v>Punjab</x:v>
      </x:c>
      <x:c r="K125" t="str">
        <x:v>Quaid-e-Azam Solar Park–Bahawalpur</x:v>
      </x:c>
      <x:c r="L125" s="22" t="n">
        <x:v>29.39</x:v>
      </x:c>
      <x:c r="M125" s="22" t="n">
        <x:v>71.75</x:v>
      </x:c>
      <x:c r="N125" t="str">
        <x:v>Site vicinity</x:v>
      </x:c>
      <x:c r="O125"/>
      <x:c r="P125" t="str">
        <x:v>NGC</x:v>
      </x:c>
      <x:c r="Q125"/>
      <x:c r="R125" t="str">
        <x:v>QA_Solar</x:v>
      </x:c>
      <x:c r="S125" t="n">
        <x:v>121</x:v>
      </x:c>
      <x:c r="T125" t="str">
        <x:v>Annexure B-1(i)</x:v>
      </x:c>
      <x:c r="U125" t="n">
        <x:v>152</x:v>
      </x:c>
      <x:c r="V125" t="n">
        <x:v>97</x:v>
      </x:c>
      <x:c r="W125" t="str">
        <x:v>Plant coordinates are not provided in the IGCEP; plotted coordinates are indicative.</x:v>
      </x:c>
      <x:c r="X125" s="24" t="n">
        <x:v>17.22</x:v>
      </x:c>
      <x:c r="Y125" s="24" t="n">
        <x:v>17.18</x:v>
      </x:c>
      <x:c r="Z125" s="24" t="n">
        <x:v>17.22</x:v>
      </x:c>
      <x:c r="AA125" s="24" t="n">
        <x:v>17.18</x:v>
      </x:c>
      <x:c r="AB125" s="24" t="n">
        <x:v>16.68</x:v>
      </x:c>
      <x:c r="AC125" s="24" t="n">
        <x:v>16.93</x:v>
      </x:c>
      <x:c r="AD125" s="24" t="n">
        <x:v>16.68</x:v>
      </x:c>
      <x:c r="AE125" s="24" t="n">
        <x:v>16.92</x:v>
      </x:c>
      <x:c r="AF125" s="24" t="n">
        <x:v>17.22</x:v>
      </x:c>
    </x:row>
    <x:row r="126" ht="18" customHeight="1">
      <x:c r="A126" t="str">
        <x:v>B01-123</x:v>
      </x:c>
      <x:c r="B126" t="str">
        <x:v>Zhenfa</x:v>
      </x:c>
      <x:c r="C126" t="str">
        <x:v>Existing (Nov 2024)</x:v>
      </x:c>
      <x:c r="D126" s="26" t="n">
        <x:v>2024</x:v>
      </x:c>
      <x:c r="E126" t="str">
        <x:v>Existing</x:v>
      </x:c>
      <x:c r="F126" t="str">
        <x:v>Solar PV</x:v>
      </x:c>
      <x:c r="G126" t="str">
        <x:v>Solar PV</x:v>
      </x:c>
      <x:c r="H126" s="20" t="n">
        <x:v>100</x:v>
      </x:c>
      <x:c r="I126" s="20" t="n">
        <x:v>100</x:v>
      </x:c>
      <x:c r="J126" t="str">
        <x:v>Unspecified / distributed</x:v>
      </x:c>
      <x:c r="K126"/>
      <x:c r="L126" s="22"/>
      <x:c r="M126" s="22"/>
      <x:c r="N126" t="str">
        <x:v>Not located in IGCEP</x:v>
      </x:c>
      <x:c r="O126"/>
      <x:c r="P126" t="str">
        <x:v>NGC</x:v>
      </x:c>
      <x:c r="Q126"/>
      <x:c r="R126"/>
      <x:c r="S126"/>
      <x:c r="T126" t="str">
        <x:v>Annexure B-1(i)</x:v>
      </x:c>
      <x:c r="U126" t="n">
        <x:v>152</x:v>
      </x:c>
      <x:c r="V126" t="n">
        <x:v>97</x:v>
      </x:c>
      <x:c r="W126" t="str">
        <x:v>Plant coordinates are not provided in the IGCEP; plotted coordinates are indicative.</x:v>
      </x:c>
      <x:c r="X126" s="24"/>
      <x:c r="Y126" s="24"/>
      <x:c r="Z126" s="24"/>
      <x:c r="AA126" s="24"/>
      <x:c r="AB126" s="24"/>
      <x:c r="AC126" s="24"/>
      <x:c r="AD126" s="24"/>
      <x:c r="AE126" s="24"/>
      <x:c r="AF126" s="24"/>
    </x:row>
    <x:row r="127" ht="18" customHeight="1">
      <x:c r="A127" t="str">
        <x:v>B-IMPORT</x:v>
      </x:c>
      <x:c r="B127" t="str">
        <x:v>Import from Iran</x:v>
      </x:c>
      <x:c r="C127" t="str">
        <x:v>Existing (Nov 2024)</x:v>
      </x:c>
      <x:c r="D127" s="26" t="n">
        <x:v>2024</x:v>
      </x:c>
      <x:c r="E127" t="str">
        <x:v>Existing import</x:v>
      </x:c>
      <x:c r="F127" t="str">
        <x:v>Cross-border</x:v>
      </x:c>
      <x:c r="G127" t="str">
        <x:v>Cross-border import</x:v>
      </x:c>
      <x:c r="H127" s="20" t="n">
        <x:v>100</x:v>
      </x:c>
      <x:c r="I127" s="20" t="n">
        <x:v>100</x:v>
      </x:c>
      <x:c r="J127" t="str">
        <x:v>Unspecified / distributed</x:v>
      </x:c>
      <x:c r="K127"/>
      <x:c r="L127" s="22"/>
      <x:c r="M127" s="22"/>
      <x:c r="N127" t="str">
        <x:v>Not located in IGCEP</x:v>
      </x:c>
      <x:c r="O127"/>
      <x:c r="P127" t="str">
        <x:v>NGC</x:v>
      </x:c>
      <x:c r="Q127"/>
      <x:c r="R127"/>
      <x:c r="S127"/>
      <x:c r="T127" t="str">
        <x:v>Annexure B-1(i)</x:v>
      </x:c>
      <x:c r="U127" t="n">
        <x:v>153</x:v>
      </x:c>
      <x:c r="V127" t="n">
        <x:v>98</x:v>
      </x:c>
      <x:c r="W127" t="str">
        <x:v>Region inferred from project/agency context; site not geocoded.</x:v>
      </x:c>
      <x:c r="X127" s="24"/>
      <x:c r="Y127" s="24"/>
      <x:c r="Z127" s="24"/>
      <x:c r="AA127" s="24"/>
      <x:c r="AB127" s="24"/>
      <x:c r="AC127" s="24"/>
      <x:c r="AD127" s="24"/>
      <x:c r="AE127" s="24"/>
      <x:c r="AF127" s="24"/>
    </x:row>
    <x:row r="128" ht="18" customHeight="1">
      <x:c r="A128" t="str">
        <x:v>BKE-001</x:v>
      </x:c>
      <x:c r="B128" t="str">
        <x:v>SNPC-I</x:v>
      </x:c>
      <x:c r="C128" t="str">
        <x:v>Existing (Nov 2024)</x:v>
      </x:c>
      <x:c r="D128" s="26" t="n">
        <x:v>2024</x:v>
      </x:c>
      <x:c r="E128" t="str">
        <x:v>Existing</x:v>
      </x:c>
      <x:c r="F128" t="str">
        <x:v>Gas</x:v>
      </x:c>
      <x:c r="G128" t="str">
        <x:v>KE_CCGT_Gas</x:v>
      </x:c>
      <x:c r="H128" s="20" t="n">
        <x:v>52</x:v>
      </x:c>
      <x:c r="I128" s="20" t="n">
        <x:v>51</x:v>
      </x:c>
      <x:c r="J128" t="str">
        <x:v>Sindh</x:v>
      </x:c>
      <x:c r="K128" t="str">
        <x:v>Karachi power complex</x:v>
      </x:c>
      <x:c r="L128" s="22" t="n">
        <x:v>24.82</x:v>
      </x:c>
      <x:c r="M128" s="22" t="n">
        <x:v>67.35</x:v>
      </x:c>
      <x:c r="N128" t="str">
        <x:v>Cluster proxy</x:v>
      </x:c>
      <x:c r="O128"/>
      <x:c r="P128" t="str">
        <x:v>NGC</x:v>
      </x:c>
      <x:c r="Q128"/>
      <x:c r="R128" t="str">
        <x:v>SNPC-I</x:v>
      </x:c>
      <x:c r="S128" t="n">
        <x:v>124</x:v>
      </x:c>
      <x:c r="T128" t="str">
        <x:v>Annexure B-1(ii)</x:v>
      </x:c>
      <x:c r="U128" t="n">
        <x:v>153</x:v>
      </x:c>
      <x:c r="V128" t="n">
        <x:v>98</x:v>
      </x:c>
      <x:c r="W128" t="str">
        <x:v>Group marker is a geographical cluster proxy, not the plant’s exact site.</x:v>
      </x:c>
      <x:c r="X128" s="24" t="n">
        <x:v>69.38</x:v>
      </x:c>
      <x:c r="Y128" s="24" t="n">
        <x:v>34.11</x:v>
      </x:c>
      <x:c r="Z128" s="24" t="n">
        <x:v>7.63</x:v>
      </x:c>
      <x:c r="AA128" s="24" t="n">
        <x:v>9</x:v>
      </x:c>
      <x:c r="AB128" s="24" t="n">
        <x:v>16.84</x:v>
      </x:c>
      <x:c r="AC128" s="24" t="n">
        <x:v>10.87</x:v>
      </x:c>
      <x:c r="AD128" s="24" t="n">
        <x:v>31.04</x:v>
      </x:c>
      <x:c r="AE128" s="24" t="n">
        <x:v>23.93</x:v>
      </x:c>
      <x:c r="AF128" s="24" t="n">
        <x:v>22.74</x:v>
      </x:c>
    </x:row>
    <x:row r="129" ht="18" customHeight="1">
      <x:c r="A129" t="str">
        <x:v>BKE-002</x:v>
      </x:c>
      <x:c r="B129" t="str">
        <x:v>SNPC-II</x:v>
      </x:c>
      <x:c r="C129" t="str">
        <x:v>Existing (Nov 2024)</x:v>
      </x:c>
      <x:c r="D129" s="26" t="n">
        <x:v>2024</x:v>
      </x:c>
      <x:c r="E129" t="str">
        <x:v>Existing</x:v>
      </x:c>
      <x:c r="F129" t="str">
        <x:v>Gas</x:v>
      </x:c>
      <x:c r="G129" t="str">
        <x:v>KE_CCGT_Gas</x:v>
      </x:c>
      <x:c r="H129" s="20" t="n">
        <x:v>52</x:v>
      </x:c>
      <x:c r="I129" s="20" t="n">
        <x:v>52</x:v>
      </x:c>
      <x:c r="J129" t="str">
        <x:v>Sindh</x:v>
      </x:c>
      <x:c r="K129" t="str">
        <x:v>Karachi power complex</x:v>
      </x:c>
      <x:c r="L129" s="22" t="n">
        <x:v>24.82</x:v>
      </x:c>
      <x:c r="M129" s="22" t="n">
        <x:v>67.35</x:v>
      </x:c>
      <x:c r="N129" t="str">
        <x:v>Cluster proxy</x:v>
      </x:c>
      <x:c r="O129"/>
      <x:c r="P129" t="str">
        <x:v>NGC</x:v>
      </x:c>
      <x:c r="Q129"/>
      <x:c r="R129" t="str">
        <x:v>SNPC-II</x:v>
      </x:c>
      <x:c r="S129" t="n">
        <x:v>124</x:v>
      </x:c>
      <x:c r="T129" t="str">
        <x:v>Annexure B-1(ii)</x:v>
      </x:c>
      <x:c r="U129" t="n">
        <x:v>153</x:v>
      </x:c>
      <x:c r="V129" t="n">
        <x:v>98</x:v>
      </x:c>
      <x:c r="W129" t="str">
        <x:v>Group marker is a geographical cluster proxy, not the plant’s exact site.</x:v>
      </x:c>
      <x:c r="X129" s="24" t="n">
        <x:v>71.92</x:v>
      </x:c>
      <x:c r="Y129" s="24" t="n">
        <x:v>37.05</x:v>
      </x:c>
      <x:c r="Z129" s="24" t="n">
        <x:v>8.18</x:v>
      </x:c>
      <x:c r="AA129" s="24" t="n">
        <x:v>9.51</x:v>
      </x:c>
      <x:c r="AB129" s="24" t="n">
        <x:v>17.61</x:v>
      </x:c>
      <x:c r="AC129" s="24" t="n">
        <x:v>12.35</x:v>
      </x:c>
      <x:c r="AD129" s="24" t="n">
        <x:v>31.39</x:v>
      </x:c>
      <x:c r="AE129" s="24" t="n">
        <x:v>25.42</x:v>
      </x:c>
      <x:c r="AF129" s="24" t="n">
        <x:v>23.36</x:v>
      </x:c>
    </x:row>
    <x:row r="130" ht="18" customHeight="1">
      <x:c r="A130" t="str">
        <x:v>BKE-003</x:v>
      </x:c>
      <x:c r="B130" t="str">
        <x:v>FPCL</x:v>
      </x:c>
      <x:c r="C130" t="str">
        <x:v>Existing (Nov 2024)</x:v>
      </x:c>
      <x:c r="D130" s="26" t="n">
        <x:v>2024</x:v>
      </x:c>
      <x:c r="E130" t="str">
        <x:v>Existing</x:v>
      </x:c>
      <x:c r="F130" t="str">
        <x:v>Coal - Imported</x:v>
      </x:c>
      <x:c r="G130" t="str">
        <x:v>KE_Imported Coal</x:v>
      </x:c>
      <x:c r="H130" s="20" t="n">
        <x:v>60</x:v>
      </x:c>
      <x:c r="I130" s="20" t="n">
        <x:v>52</x:v>
      </x:c>
      <x:c r="J130" t="str">
        <x:v>Sindh</x:v>
      </x:c>
      <x:c r="K130" t="str">
        <x:v>Karachi power complex</x:v>
      </x:c>
      <x:c r="L130" s="22" t="n">
        <x:v>24.82</x:v>
      </x:c>
      <x:c r="M130" s="22" t="n">
        <x:v>67.35</x:v>
      </x:c>
      <x:c r="N130" t="str">
        <x:v>Cluster proxy</x:v>
      </x:c>
      <x:c r="O130"/>
      <x:c r="P130" t="str">
        <x:v>NGC</x:v>
      </x:c>
      <x:c r="Q130"/>
      <x:c r="R130" t="str">
        <x:v>FPCL</x:v>
      </x:c>
      <x:c r="S130" t="n">
        <x:v>125</x:v>
      </x:c>
      <x:c r="T130" t="str">
        <x:v>Annexure B-1(ii)</x:v>
      </x:c>
      <x:c r="U130" t="n">
        <x:v>153</x:v>
      </x:c>
      <x:c r="V130" t="n">
        <x:v>98</x:v>
      </x:c>
      <x:c r="W130" t="str">
        <x:v>Group marker is a geographical cluster proxy, not the plant’s exact site.</x:v>
      </x:c>
      <x:c r="X130" s="24" t="n">
        <x:v>21.87</x:v>
      </x:c>
      <x:c r="Y130" s="24" t="n">
        <x:v>23.54</x:v>
      </x:c>
      <x:c r="Z130" s="24" t="n">
        <x:v>2.6</x:v>
      </x:c>
      <x:c r="AA130" s="24" t="n">
        <x:v>2.74</x:v>
      </x:c>
      <x:c r="AB130" s="24" t="n">
        <x:v>2.77</x:v>
      </x:c>
      <x:c r="AC130" s="24" t="n">
        <x:v>2.84</x:v>
      </x:c>
      <x:c r="AD130" s="24" t="n">
        <x:v>8.68</x:v>
      </x:c>
      <x:c r="AE130" s="24" t="n">
        <x:v>7.93</x:v>
      </x:c>
      <x:c r="AF130" s="24" t="n">
        <x:v>7.45</x:v>
      </x:c>
    </x:row>
    <x:row r="131" ht="18" customHeight="1">
      <x:c r="A131" t="str">
        <x:v>BKE-004</x:v>
      </x:c>
      <x:c r="B131" t="str">
        <x:v>BQPS2</x:v>
      </x:c>
      <x:c r="C131" t="str">
        <x:v>Existing (Nov 2024)</x:v>
      </x:c>
      <x:c r="D131" s="26" t="n">
        <x:v>2024</x:v>
      </x:c>
      <x:c r="E131" t="str">
        <x:v>Existing</x:v>
      </x:c>
      <x:c r="F131" t="str">
        <x:v>RLNG</x:v>
      </x:c>
      <x:c r="G131" t="str">
        <x:v>KE_CCGT_RLNG</x:v>
      </x:c>
      <x:c r="H131" s="20" t="n">
        <x:v>573</x:v>
      </x:c>
      <x:c r="I131" s="20" t="n">
        <x:v>493</x:v>
      </x:c>
      <x:c r="J131" t="str">
        <x:v>Sindh</x:v>
      </x:c>
      <x:c r="K131" t="str">
        <x:v>Karachi power complex</x:v>
      </x:c>
      <x:c r="L131" s="22" t="n">
        <x:v>24.82</x:v>
      </x:c>
      <x:c r="M131" s="22" t="n">
        <x:v>67.35</x:v>
      </x:c>
      <x:c r="N131" t="str">
        <x:v>Cluster proxy</x:v>
      </x:c>
      <x:c r="O131"/>
      <x:c r="P131" t="str">
        <x:v>NGC</x:v>
      </x:c>
      <x:c r="Q131"/>
      <x:c r="R131" t="str">
        <x:v>BQPS2</x:v>
      </x:c>
      <x:c r="S131" t="n">
        <x:v>125</x:v>
      </x:c>
      <x:c r="T131" t="str">
        <x:v>Annexure B-1(ii)</x:v>
      </x:c>
      <x:c r="U131" t="n">
        <x:v>153</x:v>
      </x:c>
      <x:c r="V131" t="n">
        <x:v>98</x:v>
      </x:c>
      <x:c r="W131" t="str">
        <x:v>Group marker is a geographical cluster proxy, not the plant’s exact site.</x:v>
      </x:c>
      <x:c r="X131" s="24" t="n">
        <x:v>4.29</x:v>
      </x:c>
      <x:c r="Y131" s="24" t="n">
        <x:v>4.82</x:v>
      </x:c>
      <x:c r="Z131" s="24" t="n">
        <x:v>0</x:v>
      </x:c>
      <x:c r="AA131" s="24" t="n">
        <x:v>0</x:v>
      </x:c>
      <x:c r="AB131" s="24" t="n">
        <x:v>0</x:v>
      </x:c>
      <x:c r="AC131" s="24" t="n">
        <x:v>0</x:v>
      </x:c>
      <x:c r="AD131" s="24" t="n">
        <x:v>0</x:v>
      </x:c>
      <x:c r="AE131" s="24" t="n">
        <x:v>0</x:v>
      </x:c>
      <x:c r="AF131" s="24" t="n">
        <x:v>0</x:v>
      </x:c>
    </x:row>
    <x:row r="132" ht="18" customHeight="1">
      <x:c r="A132" t="str">
        <x:v>BKE-005</x:v>
      </x:c>
      <x:c r="B132" t="str">
        <x:v>BQPS3</x:v>
      </x:c>
      <x:c r="C132" t="str">
        <x:v>Existing (Nov 2024)</x:v>
      </x:c>
      <x:c r="D132" s="26" t="n">
        <x:v>2024</x:v>
      </x:c>
      <x:c r="E132" t="str">
        <x:v>Existing</x:v>
      </x:c>
      <x:c r="F132" t="str">
        <x:v>RLNG</x:v>
      </x:c>
      <x:c r="G132" t="str">
        <x:v>KE_CCGT_RLNG</x:v>
      </x:c>
      <x:c r="H132" s="20" t="n">
        <x:v>942</x:v>
      </x:c>
      <x:c r="I132" s="20" t="n">
        <x:v>889</x:v>
      </x:c>
      <x:c r="J132" t="str">
        <x:v>Sindh</x:v>
      </x:c>
      <x:c r="K132" t="str">
        <x:v>Karachi power complex</x:v>
      </x:c>
      <x:c r="L132" s="22" t="n">
        <x:v>24.82</x:v>
      </x:c>
      <x:c r="M132" s="22" t="n">
        <x:v>67.35</x:v>
      </x:c>
      <x:c r="N132" t="str">
        <x:v>Cluster proxy</x:v>
      </x:c>
      <x:c r="O132"/>
      <x:c r="P132" t="str">
        <x:v>NGC</x:v>
      </x:c>
      <x:c r="Q132"/>
      <x:c r="R132" t="str">
        <x:v>BQPS3</x:v>
      </x:c>
      <x:c r="S132" t="n">
        <x:v>125</x:v>
      </x:c>
      <x:c r="T132" t="str">
        <x:v>Annexure B-1(ii)</x:v>
      </x:c>
      <x:c r="U132" t="n">
        <x:v>153</x:v>
      </x:c>
      <x:c r="V132" t="n">
        <x:v>98</x:v>
      </x:c>
      <x:c r="W132" t="str">
        <x:v>Group marker is a geographical cluster proxy, not the plant’s exact site.</x:v>
      </x:c>
      <x:c r="X132" s="24" t="n">
        <x:v>14.22</x:v>
      </x:c>
      <x:c r="Y132" s="24" t="n">
        <x:v>14.64</x:v>
      </x:c>
      <x:c r="Z132" s="24" t="n">
        <x:v>0.59</x:v>
      </x:c>
      <x:c r="AA132" s="24" t="n">
        <x:v>0.65</x:v>
      </x:c>
      <x:c r="AB132" s="24" t="n">
        <x:v>0.69</x:v>
      </x:c>
      <x:c r="AC132" s="24" t="n">
        <x:v>0.77</x:v>
      </x:c>
      <x:c r="AD132" s="24" t="n">
        <x:v>1.05</x:v>
      </x:c>
      <x:c r="AE132" s="24" t="n">
        <x:v>0.93</x:v>
      </x:c>
      <x:c r="AF132" s="24" t="n">
        <x:v>0.84</x:v>
      </x:c>
    </x:row>
    <x:row r="133" ht="18" customHeight="1">
      <x:c r="A133" t="str">
        <x:v>BKE-006</x:v>
      </x:c>
      <x:c r="B133" t="str">
        <x:v>KCCPP</x:v>
      </x:c>
      <x:c r="C133" t="str">
        <x:v>Existing (Nov 2024)</x:v>
      </x:c>
      <x:c r="D133" s="26" t="n">
        <x:v>2024</x:v>
      </x:c>
      <x:c r="E133" t="str">
        <x:v>Existing</x:v>
      </x:c>
      <x:c r="F133" t="str">
        <x:v>RLNG</x:v>
      </x:c>
      <x:c r="G133" t="str">
        <x:v>KE_CCGT_RLNG</x:v>
      </x:c>
      <x:c r="H133" s="20" t="n">
        <x:v>248</x:v>
      </x:c>
      <x:c r="I133" s="20" t="n">
        <x:v>212</x:v>
      </x:c>
      <x:c r="J133" t="str">
        <x:v>Sindh</x:v>
      </x:c>
      <x:c r="K133" t="str">
        <x:v>Karachi power complex</x:v>
      </x:c>
      <x:c r="L133" s="22" t="n">
        <x:v>24.82</x:v>
      </x:c>
      <x:c r="M133" s="22" t="n">
        <x:v>67.35</x:v>
      </x:c>
      <x:c r="N133" t="str">
        <x:v>Cluster proxy</x:v>
      </x:c>
      <x:c r="O133"/>
      <x:c r="P133" t="str">
        <x:v>NGC</x:v>
      </x:c>
      <x:c r="Q133"/>
      <x:c r="R133" t="str">
        <x:v>KCCPP</x:v>
      </x:c>
      <x:c r="S133" t="n">
        <x:v>125</x:v>
      </x:c>
      <x:c r="T133" t="str">
        <x:v>Annexure B-1(ii)</x:v>
      </x:c>
      <x:c r="U133" t="n">
        <x:v>153</x:v>
      </x:c>
      <x:c r="V133" t="n">
        <x:v>98</x:v>
      </x:c>
      <x:c r="W133" t="str">
        <x:v>Group marker is a geographical cluster proxy, not the plant’s exact site.</x:v>
      </x:c>
      <x:c r="X133" s="24" t="n">
        <x:v>0.27</x:v>
      </x:c>
      <x:c r="Y133" s="24" t="n">
        <x:v>0.66</x:v>
      </x:c>
      <x:c r="Z133" s="24" t="n">
        <x:v>0</x:v>
      </x:c>
      <x:c r="AA133" s="24" t="n">
        <x:v>0</x:v>
      </x:c>
      <x:c r="AB133" s="24" t="n">
        <x:v>0</x:v>
      </x:c>
      <x:c r="AC133" s="24" t="n">
        <x:v>0</x:v>
      </x:c>
      <x:c r="AD133" s="24" t="n">
        <x:v>0</x:v>
      </x:c>
      <x:c r="AE133" s="24" t="n">
        <x:v>0</x:v>
      </x:c>
      <x:c r="AF133" s="24" t="n">
        <x:v>0</x:v>
      </x:c>
    </x:row>
    <x:row r="134" ht="18" customHeight="1">
      <x:c r="A134" t="str">
        <x:v>BKE-007</x:v>
      </x:c>
      <x:c r="B134" t="str">
        <x:v>KTGTPS</x:v>
      </x:c>
      <x:c r="C134" t="str">
        <x:v>Existing (Nov 2024)</x:v>
      </x:c>
      <x:c r="D134" s="26" t="n">
        <x:v>2024</x:v>
      </x:c>
      <x:c r="E134" t="str">
        <x:v>Existing</x:v>
      </x:c>
      <x:c r="F134" t="str">
        <x:v>RLNG</x:v>
      </x:c>
      <x:c r="G134" t="str">
        <x:v>KE_CCGT_RLNG</x:v>
      </x:c>
      <x:c r="H134" s="20" t="n">
        <x:v>107</x:v>
      </x:c>
      <x:c r="I134" s="20" t="n">
        <x:v>92</x:v>
      </x:c>
      <x:c r="J134" t="str">
        <x:v>Sindh</x:v>
      </x:c>
      <x:c r="K134" t="str">
        <x:v>Karachi power complex</x:v>
      </x:c>
      <x:c r="L134" s="22" t="n">
        <x:v>24.82</x:v>
      </x:c>
      <x:c r="M134" s="22" t="n">
        <x:v>67.35</x:v>
      </x:c>
      <x:c r="N134" t="str">
        <x:v>Cluster proxy</x:v>
      </x:c>
      <x:c r="O134"/>
      <x:c r="P134" t="str">
        <x:v>NGC</x:v>
      </x:c>
      <x:c r="Q134"/>
      <x:c r="R134" t="str">
        <x:v>KTGTPS</x:v>
      </x:c>
      <x:c r="S134" t="n">
        <x:v>125</x:v>
      </x:c>
      <x:c r="T134" t="str">
        <x:v>Annexure B-1(ii)</x:v>
      </x:c>
      <x:c r="U134" t="n">
        <x:v>153</x:v>
      </x:c>
      <x:c r="V134" t="n">
        <x:v>98</x:v>
      </x:c>
      <x:c r="W134" t="str">
        <x:v>Group marker is a geographical cluster proxy, not the plant’s exact site.</x:v>
      </x:c>
      <x:c r="X134" s="24" t="n">
        <x:v>0</x:v>
      </x:c>
      <x:c r="Y134" s="24" t="n">
        <x:v>0</x:v>
      </x:c>
      <x:c r="Z134" s="24" t="n">
        <x:v>0</x:v>
      </x:c>
      <x:c r="AA134" s="24" t="n">
        <x:v>0</x:v>
      </x:c>
      <x:c r="AB134" s="24" t="n">
        <x:v>0</x:v>
      </x:c>
      <x:c r="AC134" s="24" t="n">
        <x:v>0</x:v>
      </x:c>
      <x:c r="AD134" s="24" t="n">
        <x:v>0</x:v>
      </x:c>
      <x:c r="AE134" s="24" t="n">
        <x:v>0</x:v>
      </x:c>
      <x:c r="AF134" s="24" t="n">
        <x:v>0</x:v>
      </x:c>
    </x:row>
    <x:row r="135" ht="18" customHeight="1">
      <x:c r="A135" t="str">
        <x:v>BKE-008</x:v>
      </x:c>
      <x:c r="B135" t="str">
        <x:v>SGTPS</x:v>
      </x:c>
      <x:c r="C135" t="str">
        <x:v>Existing (Nov 2024)</x:v>
      </x:c>
      <x:c r="D135" s="26" t="n">
        <x:v>2024</x:v>
      </x:c>
      <x:c r="E135" t="str">
        <x:v>Existing</x:v>
      </x:c>
      <x:c r="F135" t="str">
        <x:v>RLNG</x:v>
      </x:c>
      <x:c r="G135" t="str">
        <x:v>KE_CCGT_RLNG</x:v>
      </x:c>
      <x:c r="H135" s="20" t="n">
        <x:v>107</x:v>
      </x:c>
      <x:c r="I135" s="20" t="n">
        <x:v>93</x:v>
      </x:c>
      <x:c r="J135" t="str">
        <x:v>Sindh</x:v>
      </x:c>
      <x:c r="K135" t="str">
        <x:v>Karachi power complex</x:v>
      </x:c>
      <x:c r="L135" s="22" t="n">
        <x:v>24.82</x:v>
      </x:c>
      <x:c r="M135" s="22" t="n">
        <x:v>67.35</x:v>
      </x:c>
      <x:c r="N135" t="str">
        <x:v>Cluster proxy</x:v>
      </x:c>
      <x:c r="O135"/>
      <x:c r="P135" t="str">
        <x:v>NGC</x:v>
      </x:c>
      <x:c r="Q135"/>
      <x:c r="R135" t="str">
        <x:v>SGTPS</x:v>
      </x:c>
      <x:c r="S135" t="n">
        <x:v>125</x:v>
      </x:c>
      <x:c r="T135" t="str">
        <x:v>Annexure B-1(ii)</x:v>
      </x:c>
      <x:c r="U135" t="n">
        <x:v>153</x:v>
      </x:c>
      <x:c r="V135" t="n">
        <x:v>98</x:v>
      </x:c>
      <x:c r="W135" t="str">
        <x:v>Group marker is a geographical cluster proxy, not the plant’s exact site.</x:v>
      </x:c>
      <x:c r="X135" s="24" t="n">
        <x:v>0</x:v>
      </x:c>
      <x:c r="Y135" s="24" t="n">
        <x:v>0</x:v>
      </x:c>
      <x:c r="Z135" s="24" t="n">
        <x:v>0</x:v>
      </x:c>
      <x:c r="AA135" s="24" t="n">
        <x:v>0</x:v>
      </x:c>
      <x:c r="AB135" s="24" t="n">
        <x:v>0</x:v>
      </x:c>
      <x:c r="AC135" s="24" t="n">
        <x:v>0</x:v>
      </x:c>
      <x:c r="AD135" s="24" t="n">
        <x:v>0</x:v>
      </x:c>
      <x:c r="AE135" s="24" t="n">
        <x:v>0</x:v>
      </x:c>
      <x:c r="AF135" s="24" t="n">
        <x:v>0</x:v>
      </x:c>
    </x:row>
    <x:row r="136" ht="18" customHeight="1">
      <x:c r="A136" t="str">
        <x:v>BKE-009</x:v>
      </x:c>
      <x:c r="B136" t="str">
        <x:v>BQPS1-U5</x:v>
      </x:c>
      <x:c r="C136" t="str">
        <x:v>Existing (Nov 2024)</x:v>
      </x:c>
      <x:c r="D136" s="26" t="n">
        <x:v>2024</x:v>
      </x:c>
      <x:c r="E136" t="str">
        <x:v>Existing</x:v>
      </x:c>
      <x:c r="F136" t="str">
        <x:v>RLNG</x:v>
      </x:c>
      <x:c r="G136" t="str">
        <x:v>KE_ST_RLNG</x:v>
      </x:c>
      <x:c r="H136" s="20" t="n">
        <x:v>210</x:v>
      </x:c>
      <x:c r="I136" s="20" t="n">
        <x:v>188</x:v>
      </x:c>
      <x:c r="J136" t="str">
        <x:v>Sindh</x:v>
      </x:c>
      <x:c r="K136" t="str">
        <x:v>Karachi power complex</x:v>
      </x:c>
      <x:c r="L136" s="22" t="n">
        <x:v>24.82</x:v>
      </x:c>
      <x:c r="M136" s="22" t="n">
        <x:v>67.35</x:v>
      </x:c>
      <x:c r="N136" t="str">
        <x:v>Cluster proxy</x:v>
      </x:c>
      <x:c r="O136"/>
      <x:c r="P136" t="str">
        <x:v>NGC</x:v>
      </x:c>
      <x:c r="Q136" t="n">
        <x:v>2027</x:v>
      </x:c>
      <x:c r="R136" t="str">
        <x:v>BQPS1-U5</x:v>
      </x:c>
      <x:c r="S136" t="n">
        <x:v>125</x:v>
      </x:c>
      <x:c r="T136" t="str">
        <x:v>Annexure B-1(ii)</x:v>
      </x:c>
      <x:c r="U136" t="n">
        <x:v>153</x:v>
      </x:c>
      <x:c r="V136" t="n">
        <x:v>98</x:v>
      </x:c>
      <x:c r="W136" t="str">
        <x:v>Group marker is a geographical cluster proxy, not the plant’s exact site.</x:v>
      </x:c>
      <x:c r="X136" s="24" t="n">
        <x:v>0</x:v>
      </x:c>
      <x:c r="Y136" s="24" t="n">
        <x:v>0</x:v>
      </x:c>
      <x:c r="Z136" s="24" t="n">
        <x:v>0</x:v>
      </x:c>
      <x:c r="AA136" s="24" t="n">
        <x:v>0</x:v>
      </x:c>
      <x:c r="AB136" s="24" t="n">
        <x:v>0</x:v>
      </x:c>
      <x:c r="AC136" s="24" t="n">
        <x:v>0</x:v>
      </x:c>
      <x:c r="AD136" s="24" t="n">
        <x:v>0</x:v>
      </x:c>
      <x:c r="AE136" s="24" t="n">
        <x:v>0</x:v>
      </x:c>
      <x:c r="AF136" s="24" t="n">
        <x:v>0</x:v>
      </x:c>
    </x:row>
    <x:row r="137" ht="18" customHeight="1">
      <x:c r="A137" t="str">
        <x:v>BKE-010</x:v>
      </x:c>
      <x:c r="B137" t="str">
        <x:v>BQPS1-U6</x:v>
      </x:c>
      <x:c r="C137" t="str">
        <x:v>Existing (Nov 2024)</x:v>
      </x:c>
      <x:c r="D137" s="26" t="n">
        <x:v>2024</x:v>
      </x:c>
      <x:c r="E137" t="str">
        <x:v>Existing</x:v>
      </x:c>
      <x:c r="F137" t="str">
        <x:v>RLNG</x:v>
      </x:c>
      <x:c r="G137" t="str">
        <x:v>KE_ST_RLNG</x:v>
      </x:c>
      <x:c r="H137" s="20" t="n">
        <x:v>210</x:v>
      </x:c>
      <x:c r="I137" s="20" t="n">
        <x:v>191</x:v>
      </x:c>
      <x:c r="J137" t="str">
        <x:v>Sindh</x:v>
      </x:c>
      <x:c r="K137" t="str">
        <x:v>Karachi power complex</x:v>
      </x:c>
      <x:c r="L137" s="22" t="n">
        <x:v>24.82</x:v>
      </x:c>
      <x:c r="M137" s="22" t="n">
        <x:v>67.35</x:v>
      </x:c>
      <x:c r="N137" t="str">
        <x:v>Cluster proxy</x:v>
      </x:c>
      <x:c r="O137"/>
      <x:c r="P137" t="str">
        <x:v>NGC</x:v>
      </x:c>
      <x:c r="Q137" t="n">
        <x:v>2033</x:v>
      </x:c>
      <x:c r="R137" t="str">
        <x:v>BQPS1-U5</x:v>
      </x:c>
      <x:c r="S137" t="n">
        <x:v>125</x:v>
      </x:c>
      <x:c r="T137" t="str">
        <x:v>Annexure B-1(ii)</x:v>
      </x:c>
      <x:c r="U137" t="n">
        <x:v>153</x:v>
      </x:c>
      <x:c r="V137" t="n">
        <x:v>98</x:v>
      </x:c>
      <x:c r="W137" t="str">
        <x:v>Group marker is a geographical cluster proxy, not the plant’s exact site.</x:v>
      </x:c>
      <x:c r="X137" s="24" t="n">
        <x:v>0</x:v>
      </x:c>
      <x:c r="Y137" s="24" t="n">
        <x:v>0</x:v>
      </x:c>
      <x:c r="Z137" s="24" t="n">
        <x:v>0</x:v>
      </x:c>
      <x:c r="AA137" s="24" t="n">
        <x:v>0</x:v>
      </x:c>
      <x:c r="AB137" s="24" t="n">
        <x:v>0</x:v>
      </x:c>
      <x:c r="AC137" s="24" t="n">
        <x:v>0</x:v>
      </x:c>
      <x:c r="AD137" s="24" t="n">
        <x:v>0</x:v>
      </x:c>
      <x:c r="AE137" s="24" t="n">
        <x:v>0</x:v>
      </x:c>
      <x:c r="AF137" s="24" t="n">
        <x:v>0</x:v>
      </x:c>
    </x:row>
    <x:row r="138" ht="18" customHeight="1">
      <x:c r="A138" t="str">
        <x:v>BKE-013</x:v>
      </x:c>
      <x:c r="B138" t="str">
        <x:v>Gharo</x:v>
      </x:c>
      <x:c r="C138" t="str">
        <x:v>Existing (Nov 2024)</x:v>
      </x:c>
      <x:c r="D138" s="26" t="n">
        <x:v>2024</x:v>
      </x:c>
      <x:c r="E138" t="str">
        <x:v>Existing</x:v>
      </x:c>
      <x:c r="F138" t="str">
        <x:v>Solar PV</x:v>
      </x:c>
      <x:c r="G138" t="str">
        <x:v>KE_PV</x:v>
      </x:c>
      <x:c r="H138" s="20" t="n">
        <x:v>50</x:v>
      </x:c>
      <x:c r="I138" s="20" t="n">
        <x:v>50</x:v>
      </x:c>
      <x:c r="J138" t="str">
        <x:v>Sindh</x:v>
      </x:c>
      <x:c r="K138" t="str">
        <x:v>Gharo</x:v>
      </x:c>
      <x:c r="L138" s="22" t="n">
        <x:v>24.75</x:v>
      </x:c>
      <x:c r="M138" s="22" t="n">
        <x:v>67.59</x:v>
      </x:c>
      <x:c r="N138" t="str">
        <x:v>Regional locality</x:v>
      </x:c>
      <x:c r="O138"/>
      <x:c r="P138" t="str">
        <x:v>KE</x:v>
      </x:c>
      <x:c r="Q138"/>
      <x:c r="R138" t="str">
        <x:v>Gharo</x:v>
      </x:c>
      <x:c r="S138" t="n">
        <x:v>121</x:v>
      </x:c>
      <x:c r="T138" t="str">
        <x:v>Annexure B-1(ii)</x:v>
      </x:c>
      <x:c r="U138" t="n">
        <x:v>153</x:v>
      </x:c>
      <x:c r="V138" t="n">
        <x:v>98</x:v>
      </x:c>
      <x:c r="W138" t="str">
        <x:v>Plant coordinates are not provided in the IGCEP; plotted coordinates are indicative.</x:v>
      </x:c>
      <x:c r="X138" s="24" t="n">
        <x:v>22.03</x:v>
      </x:c>
      <x:c r="Y138" s="24" t="n">
        <x:v>21.82</x:v>
      </x:c>
      <x:c r="Z138" s="24" t="n">
        <x:v>22.03</x:v>
      </x:c>
      <x:c r="AA138" s="24" t="n">
        <x:v>22.03</x:v>
      </x:c>
      <x:c r="AB138" s="24" t="n">
        <x:v>21.35</x:v>
      </x:c>
      <x:c r="AC138" s="24" t="n">
        <x:v>21.5</x:v>
      </x:c>
      <x:c r="AD138" s="24" t="n">
        <x:v>21.35</x:v>
      </x:c>
      <x:c r="AE138" s="24" t="n">
        <x:v>21.35</x:v>
      </x:c>
      <x:c r="AF138" s="24" t="n">
        <x:v>22.03</x:v>
      </x:c>
    </x:row>
    <x:row r="139" ht="18" customHeight="1">
      <x:c r="A139" t="str">
        <x:v>BKE-014</x:v>
      </x:c>
      <x:c r="B139" t="str">
        <x:v>Oursun</x:v>
      </x:c>
      <x:c r="C139" t="str">
        <x:v>Existing (Nov 2024)</x:v>
      </x:c>
      <x:c r="D139" s="26" t="n">
        <x:v>2024</x:v>
      </x:c>
      <x:c r="E139" t="str">
        <x:v>Existing</x:v>
      </x:c>
      <x:c r="F139" t="str">
        <x:v>Solar PV</x:v>
      </x:c>
      <x:c r="G139" t="str">
        <x:v>KE_PV</x:v>
      </x:c>
      <x:c r="H139" s="20" t="n">
        <x:v>50</x:v>
      </x:c>
      <x:c r="I139" s="20" t="n">
        <x:v>50</x:v>
      </x:c>
      <x:c r="J139" t="str">
        <x:v>Sindh</x:v>
      </x:c>
      <x:c r="K139"/>
      <x:c r="L139" s="22"/>
      <x:c r="M139" s="22"/>
      <x:c r="N139" t="str">
        <x:v>Not located in IGCEP</x:v>
      </x:c>
      <x:c r="O139"/>
      <x:c r="P139" t="str">
        <x:v>KE</x:v>
      </x:c>
      <x:c r="Q139"/>
      <x:c r="R139" t="str">
        <x:v>Oursun</x:v>
      </x:c>
      <x:c r="S139" t="n">
        <x:v>121</x:v>
      </x:c>
      <x:c r="T139" t="str">
        <x:v>Annexure B-1(ii)</x:v>
      </x:c>
      <x:c r="U139" t="n">
        <x:v>153</x:v>
      </x:c>
      <x:c r="V139" t="n">
        <x:v>98</x:v>
      </x:c>
      <x:c r="W139" t="str">
        <x:v>Region inferred from project/agency context; site not geocoded.</x:v>
      </x:c>
      <x:c r="X139" s="24" t="n">
        <x:v>20.96</x:v>
      </x:c>
      <x:c r="Y139" s="24" t="n">
        <x:v>20.91</x:v>
      </x:c>
      <x:c r="Z139" s="24" t="n">
        <x:v>20.96</x:v>
      </x:c>
      <x:c r="AA139" s="24" t="n">
        <x:v>20.96</x:v>
      </x:c>
      <x:c r="AB139" s="24" t="n">
        <x:v>20.5</x:v>
      </x:c>
      <x:c r="AC139" s="24" t="n">
        <x:v>20.57</x:v>
      </x:c>
      <x:c r="AD139" s="24" t="n">
        <x:v>20.5</x:v>
      </x:c>
      <x:c r="AE139" s="24" t="n">
        <x:v>20.5</x:v>
      </x:c>
      <x:c r="AF139" s="24" t="n">
        <x:v>20.96</x:v>
      </x:c>
    </x:row>
    <x:row r="140" ht="18" customHeight="1">
      <x:c r="A140" t="str">
        <x:v>A001</x:v>
      </x:c>
      <x:c r="B140" t="str">
        <x:v>Lawi</x:v>
      </x:c>
      <x:c r="C140" t="str">
        <x:v>Addition</x:v>
      </x:c>
      <x:c r="D140" s="26" t="n">
        <x:v>2025</x:v>
      </x:c>
      <x:c r="E140" t="str">
        <x:v>Committed</x:v>
      </x:c>
      <x:c r="F140" t="str">
        <x:v>Hydro</x:v>
      </x:c>
      <x:c r="G140" t="str">
        <x:v>Hydro</x:v>
      </x:c>
      <x:c r="H140" s="20" t="n">
        <x:v>69</x:v>
      </x:c>
      <x:c r="I140" s="20" t="n">
        <x:v>69</x:v>
      </x:c>
      <x:c r="J140" t="str">
        <x:v>Khyber Pakhtunkhwa</x:v>
      </x:c>
      <x:c r="K140" t="str">
        <x:v>Lawi–Chitral</x:v>
      </x:c>
      <x:c r="L140" s="22" t="n">
        <x:v>35.73</x:v>
      </x:c>
      <x:c r="M140" s="22" t="n">
        <x:v>71.93</x:v>
      </x:c>
      <x:c r="N140" t="str">
        <x:v>Site vicinity</x:v>
      </x:c>
      <x:c r="O140" t="str">
        <x:v>May-25</x:v>
      </x:c>
      <x:c r="P140" t="str">
        <x:v>GoKPK</x:v>
      </x:c>
      <x:c r="Q140"/>
      <x:c r="R140" t="str">
        <x:v>Lawi</x:v>
      </x:c>
      <x:c r="S140" t="n">
        <x:v>126</x:v>
      </x:c>
      <x:c r="T140" t="str">
        <x:v>Table 6-8</x:v>
      </x:c>
      <x:c r="U140" t="n">
        <x:v>118</x:v>
      </x:c>
      <x:c r="V140" t="n">
        <x:v>69</x:v>
      </x:c>
      <x:c r="W140" t="str">
        <x:v>Plant coordinates are not provided in the IGCEP; plotted coordinates are indicative.</x:v>
      </x:c>
      <x:c r="X140" s="24" t="n">
        <x:v>48.2</x:v>
      </x:c>
      <x:c r="Y140" s="24" t="n">
        <x:v>48.84</x:v>
      </x:c>
      <x:c r="Z140" s="24" t="n">
        <x:v>48.96</x:v>
      </x:c>
      <x:c r="AA140" s="24" t="n">
        <x:v>48.96</x:v>
      </x:c>
      <x:c r="AB140" s="24" t="n">
        <x:v>48.75</x:v>
      </x:c>
      <x:c r="AC140" s="24" t="n">
        <x:v>48.57</x:v>
      </x:c>
      <x:c r="AD140" s="24" t="n">
        <x:v>48.59</x:v>
      </x:c>
      <x:c r="AE140" s="24" t="n">
        <x:v>48.59</x:v>
      </x:c>
      <x:c r="AF140" s="24" t="n">
        <x:v>48.81</x:v>
      </x:c>
    </x:row>
    <x:row r="141" ht="18" customHeight="1">
      <x:c r="A141" t="str">
        <x:v>A002</x:v>
      </x:c>
      <x:c r="B141" t="str">
        <x:v>Jagran-II</x:v>
      </x:c>
      <x:c r="C141" t="str">
        <x:v>Addition</x:v>
      </x:c>
      <x:c r="D141" s="26" t="n">
        <x:v>2025</x:v>
      </x:c>
      <x:c r="E141" t="str">
        <x:v>Committed</x:v>
      </x:c>
      <x:c r="F141" t="str">
        <x:v>Hydro</x:v>
      </x:c>
      <x:c r="G141" t="str">
        <x:v>Hydro</x:v>
      </x:c>
      <x:c r="H141" s="20" t="n">
        <x:v>48</x:v>
      </x:c>
      <x:c r="I141" s="20" t="n">
        <x:v>48</x:v>
      </x:c>
      <x:c r="J141" t="str">
        <x:v>Azad Jammu &amp; Kashmir</x:v>
      </x:c>
      <x:c r="K141" t="str">
        <x:v>Jagran–Neelum Valley</x:v>
      </x:c>
      <x:c r="L141" s="22" t="n">
        <x:v>34.74</x:v>
      </x:c>
      <x:c r="M141" s="22" t="n">
        <x:v>74.09</x:v>
      </x:c>
      <x:c r="N141" t="str">
        <x:v>Regional locality</x:v>
      </x:c>
      <x:c r="O141" t="str">
        <x:v>May-25</x:v>
      </x:c>
      <x:c r="P141" t="str">
        <x:v>AJK-HEB</x:v>
      </x:c>
      <x:c r="Q141"/>
      <x:c r="R141" t="str">
        <x:v>Jagran-II</x:v>
      </x:c>
      <x:c r="S141" t="n">
        <x:v>125</x:v>
      </x:c>
      <x:c r="T141" t="str">
        <x:v>Table 6-8</x:v>
      </x:c>
      <x:c r="U141" t="n">
        <x:v>118</x:v>
      </x:c>
      <x:c r="V141" t="n">
        <x:v>69</x:v>
      </x:c>
      <x:c r="W141" t="str">
        <x:v>Plant coordinates are not provided in the IGCEP; plotted coordinates are indicative.</x:v>
      </x:c>
      <x:c r="X141" s="24" t="n">
        <x:v>50.98</x:v>
      </x:c>
      <x:c r="Y141" s="24" t="n">
        <x:v>51.08</x:v>
      </x:c>
      <x:c r="Z141" s="24" t="n">
        <x:v>51.22</x:v>
      </x:c>
      <x:c r="AA141" s="24" t="n">
        <x:v>51.14</x:v>
      </x:c>
      <x:c r="AB141" s="24" t="n">
        <x:v>50.81</x:v>
      </x:c>
      <x:c r="AC141" s="24" t="n">
        <x:v>48.82</x:v>
      </x:c>
      <x:c r="AD141" s="24" t="n">
        <x:v>47.27</x:v>
      </x:c>
      <x:c r="AE141" s="24" t="n">
        <x:v>46.77</x:v>
      </x:c>
      <x:c r="AF141" s="24" t="n">
        <x:v>46.63</x:v>
      </x:c>
    </x:row>
    <x:row r="142" ht="18" customHeight="1">
      <x:c r="A142" t="str">
        <x:v>A003</x:v>
      </x:c>
      <x:c r="B142" t="str">
        <x:v>Koto</x:v>
      </x:c>
      <x:c r="C142" t="str">
        <x:v>Addition</x:v>
      </x:c>
      <x:c r="D142" s="26" t="n">
        <x:v>2025</x:v>
      </x:c>
      <x:c r="E142" t="str">
        <x:v>Committed</x:v>
      </x:c>
      <x:c r="F142" t="str">
        <x:v>Hydro</x:v>
      </x:c>
      <x:c r="G142" t="str">
        <x:v>Hydro</x:v>
      </x:c>
      <x:c r="H142" s="20" t="n">
        <x:v>40.8</x:v>
      </x:c>
      <x:c r="I142" s="20" t="n">
        <x:v>40.8</x:v>
      </x:c>
      <x:c r="J142" t="str">
        <x:v>Khyber Pakhtunkhwa</x:v>
      </x:c>
      <x:c r="K142" t="str">
        <x:v>Koto–Lower Dir</x:v>
      </x:c>
      <x:c r="L142" s="22" t="n">
        <x:v>34.65</x:v>
      </x:c>
      <x:c r="M142" s="22" t="n">
        <x:v>71.88</x:v>
      </x:c>
      <x:c r="N142" t="str">
        <x:v>Site vicinity</x:v>
      </x:c>
      <x:c r="O142" t="str">
        <x:v>May-25</x:v>
      </x:c>
      <x:c r="P142" t="str">
        <x:v>GoKPK</x:v>
      </x:c>
      <x:c r="Q142"/>
      <x:c r="R142" t="str">
        <x:v>Koto</x:v>
      </x:c>
      <x:c r="S142" t="n">
        <x:v>126</x:v>
      </x:c>
      <x:c r="T142" t="str">
        <x:v>Table 6-8</x:v>
      </x:c>
      <x:c r="U142" t="n">
        <x:v>118</x:v>
      </x:c>
      <x:c r="V142" t="n">
        <x:v>69</x:v>
      </x:c>
      <x:c r="W142" t="str">
        <x:v>Plant coordinates are not provided in the IGCEP; plotted coordinates are indicative.</x:v>
      </x:c>
      <x:c r="X142" s="24" t="n">
        <x:v>58.36</x:v>
      </x:c>
      <x:c r="Y142" s="24" t="n">
        <x:v>58.59</x:v>
      </x:c>
      <x:c r="Z142" s="24" t="n">
        <x:v>58.75</x:v>
      </x:c>
      <x:c r="AA142" s="24" t="n">
        <x:v>58.42</x:v>
      </x:c>
      <x:c r="AB142" s="24" t="n">
        <x:v>58.42</x:v>
      </x:c>
      <x:c r="AC142" s="24" t="n">
        <x:v>58.26</x:v>
      </x:c>
      <x:c r="AD142" s="24" t="n">
        <x:v>57.53</x:v>
      </x:c>
      <x:c r="AE142" s="24" t="n">
        <x:v>57.78</x:v>
      </x:c>
      <x:c r="AF142" s="24" t="n">
        <x:v>58.42</x:v>
      </x:c>
    </x:row>
    <x:row r="143" ht="18" customHeight="1">
      <x:c r="A143" t="str">
        <x:v>A004</x:v>
      </x:c>
      <x:c r="B143" t="str">
        <x:v>Jabori</x:v>
      </x:c>
      <x:c r="C143" t="str">
        <x:v>Addition</x:v>
      </x:c>
      <x:c r="D143" s="26" t="n">
        <x:v>2025</x:v>
      </x:c>
      <x:c r="E143" t="str">
        <x:v>Committed</x:v>
      </x:c>
      <x:c r="F143" t="str">
        <x:v>Hydro</x:v>
      </x:c>
      <x:c r="G143" t="str">
        <x:v>Hydro</x:v>
      </x:c>
      <x:c r="H143" s="20" t="n">
        <x:v>10.2</x:v>
      </x:c>
      <x:c r="I143" s="20" t="n">
        <x:v>10.2</x:v>
      </x:c>
      <x:c r="J143" t="str">
        <x:v>Khyber Pakhtunkhwa</x:v>
      </x:c>
      <x:c r="K143" t="str">
        <x:v>Jabori–Mansehra</x:v>
      </x:c>
      <x:c r="L143" s="22" t="n">
        <x:v>34.61</x:v>
      </x:c>
      <x:c r="M143" s="22" t="n">
        <x:v>73.06</x:v>
      </x:c>
      <x:c r="N143" t="str">
        <x:v>Regional locality</x:v>
      </x:c>
      <x:c r="O143" t="str">
        <x:v>May-25</x:v>
      </x:c>
      <x:c r="P143" t="str">
        <x:v>GoKPK</x:v>
      </x:c>
      <x:c r="Q143"/>
      <x:c r="R143" t="str">
        <x:v>Jabori</x:v>
      </x:c>
      <x:c r="S143" t="n">
        <x:v>125</x:v>
      </x:c>
      <x:c r="T143" t="str">
        <x:v>Table 6-8</x:v>
      </x:c>
      <x:c r="U143" t="n">
        <x:v>118</x:v>
      </x:c>
      <x:c r="V143" t="n">
        <x:v>69</x:v>
      </x:c>
      <x:c r="W143" t="str">
        <x:v>Plant coordinates are not provided in the IGCEP; plotted coordinates are indicative.</x:v>
      </x:c>
      <x:c r="X143" s="24" t="n">
        <x:v>82.38</x:v>
      </x:c>
      <x:c r="Y143" s="24" t="n">
        <x:v>82.23</x:v>
      </x:c>
      <x:c r="Z143" s="24" t="n">
        <x:v>82.38</x:v>
      </x:c>
      <x:c r="AA143" s="24" t="n">
        <x:v>82.38</x:v>
      </x:c>
      <x:c r="AB143" s="24" t="n">
        <x:v>82.36</x:v>
      </x:c>
      <x:c r="AC143" s="24" t="n">
        <x:v>82.23</x:v>
      </x:c>
      <x:c r="AD143" s="24" t="n">
        <x:v>82.33</x:v>
      </x:c>
      <x:c r="AE143" s="24" t="n">
        <x:v>82.25</x:v>
      </x:c>
      <x:c r="AF143" s="24" t="n">
        <x:v>82.38</x:v>
      </x:c>
    </x:row>
    <x:row r="144" ht="18" customHeight="1">
      <x:c r="A144" t="str">
        <x:v>A005</x:v>
      </x:c>
      <x:c r="B144" t="str">
        <x:v>Chamfall</x:v>
      </x:c>
      <x:c r="C144" t="str">
        <x:v>Addition</x:v>
      </x:c>
      <x:c r="D144" s="26" t="n">
        <x:v>2025</x:v>
      </x:c>
      <x:c r="E144" t="str">
        <x:v>Committed</x:v>
      </x:c>
      <x:c r="F144" t="str">
        <x:v>Hydro</x:v>
      </x:c>
      <x:c r="G144" t="str">
        <x:v>Hydro</x:v>
      </x:c>
      <x:c r="H144" s="20" t="n">
        <x:v>3.22</x:v>
      </x:c>
      <x:c r="I144" s="20" t="n">
        <x:v>3.22</x:v>
      </x:c>
      <x:c r="J144" t="str">
        <x:v>Azad Jammu &amp; Kashmir</x:v>
      </x:c>
      <x:c r="K144"/>
      <x:c r="L144" s="22"/>
      <x:c r="M144" s="22"/>
      <x:c r="N144" t="str">
        <x:v>Not located in IGCEP</x:v>
      </x:c>
      <x:c r="O144" t="str">
        <x:v>May-25</x:v>
      </x:c>
      <x:c r="P144" t="str">
        <x:v>AJK-HEB</x:v>
      </x:c>
      <x:c r="Q144"/>
      <x:c r="R144" t="str">
        <x:v>Chamfall</x:v>
      </x:c>
      <x:c r="S144" t="n">
        <x:v>125</x:v>
      </x:c>
      <x:c r="T144" t="str">
        <x:v>Table 6-8</x:v>
      </x:c>
      <x:c r="U144" t="n">
        <x:v>118</x:v>
      </x:c>
      <x:c r="V144" t="n">
        <x:v>69</x:v>
      </x:c>
      <x:c r="W144" t="str">
        <x:v>Region inferred from project/agency context; site not geocoded.</x:v>
      </x:c>
      <x:c r="X144" s="24" t="n">
        <x:v>47.77</x:v>
      </x:c>
      <x:c r="Y144" s="24" t="n">
        <x:v>47.88</x:v>
      </x:c>
      <x:c r="Z144" s="24" t="n">
        <x:v>48.01</x:v>
      </x:c>
      <x:c r="AA144" s="24" t="n">
        <x:v>48.01</x:v>
      </x:c>
      <x:c r="AB144" s="24" t="n">
        <x:v>48.01</x:v>
      </x:c>
      <x:c r="AC144" s="24" t="n">
        <x:v>47.88</x:v>
      </x:c>
      <x:c r="AD144" s="24" t="n">
        <x:v>48.01</x:v>
      </x:c>
      <x:c r="AE144" s="24" t="n">
        <x:v>48.01</x:v>
      </x:c>
      <x:c r="AF144" s="24" t="n">
        <x:v>48.01</x:v>
      </x:c>
    </x:row>
    <x:row r="145" ht="18" customHeight="1">
      <x:c r="A145" t="str">
        <x:v>A006</x:v>
      </x:c>
      <x:c r="B145" t="str">
        <x:v>Karora</x:v>
      </x:c>
      <x:c r="C145" t="str">
        <x:v>Addition</x:v>
      </x:c>
      <x:c r="D145" s="26" t="n">
        <x:v>2025</x:v>
      </x:c>
      <x:c r="E145" t="str">
        <x:v>Committed</x:v>
      </x:c>
      <x:c r="F145" t="str">
        <x:v>Hydro</x:v>
      </x:c>
      <x:c r="G145" t="str">
        <x:v>Hydro</x:v>
      </x:c>
      <x:c r="H145" s="20" t="n">
        <x:v>11.8</x:v>
      </x:c>
      <x:c r="I145" s="20" t="n">
        <x:v>11.8</x:v>
      </x:c>
      <x:c r="J145" t="str">
        <x:v>Khyber Pakhtunkhwa</x:v>
      </x:c>
      <x:c r="K145" t="str">
        <x:v>Shangla–Battagram corridor</x:v>
      </x:c>
      <x:c r="L145" s="22" t="n">
        <x:v>34.72</x:v>
      </x:c>
      <x:c r="M145" s="22" t="n">
        <x:v>72.89</x:v>
      </x:c>
      <x:c r="N145" t="str">
        <x:v>Cluster proxy</x:v>
      </x:c>
      <x:c r="O145" t="str">
        <x:v>May-25</x:v>
      </x:c>
      <x:c r="P145" t="str">
        <x:v>GoKPK</x:v>
      </x:c>
      <x:c r="Q145"/>
      <x:c r="R145" t="str">
        <x:v>Karora</x:v>
      </x:c>
      <x:c r="S145" t="n">
        <x:v>126</x:v>
      </x:c>
      <x:c r="T145" t="str">
        <x:v>Table 6-8</x:v>
      </x:c>
      <x:c r="U145" t="n">
        <x:v>118</x:v>
      </x:c>
      <x:c r="V145" t="n">
        <x:v>69</x:v>
      </x:c>
      <x:c r="W145" t="str">
        <x:v>Group marker is a geographical cluster proxy, not the plant’s exact site.</x:v>
      </x:c>
      <x:c r="X145" s="24" t="n">
        <x:v>71.09</x:v>
      </x:c>
      <x:c r="Y145" s="24" t="n">
        <x:v>71.77</x:v>
      </x:c>
      <x:c r="Z145" s="24" t="n">
        <x:v>71.9</x:v>
      </x:c>
      <x:c r="AA145" s="24" t="n">
        <x:v>71.11</x:v>
      </x:c>
      <x:c r="AB145" s="24" t="n">
        <x:v>70.94</x:v>
      </x:c>
      <x:c r="AC145" s="24" t="n">
        <x:v>70.81</x:v>
      </x:c>
      <x:c r="AD145" s="24" t="n">
        <x:v>69.91</x:v>
      </x:c>
      <x:c r="AE145" s="24" t="n">
        <x:v>70.41</x:v>
      </x:c>
      <x:c r="AF145" s="24" t="n">
        <x:v>71.07</x:v>
      </x:c>
    </x:row>
    <x:row r="146" ht="18" customHeight="1">
      <x:c r="A146" t="str">
        <x:v>A007</x:v>
      </x:c>
      <x:c r="B146" t="str">
        <x:v>Riali-II (U#1)</x:v>
      </x:c>
      <x:c r="C146" t="str">
        <x:v>Addition</x:v>
      </x:c>
      <x:c r="D146" s="26" t="n">
        <x:v>2025</x:v>
      </x:c>
      <x:c r="E146" t="str">
        <x:v>Committed</x:v>
      </x:c>
      <x:c r="F146" t="str">
        <x:v>Hydro</x:v>
      </x:c>
      <x:c r="G146" t="str">
        <x:v>Hydro</x:v>
      </x:c>
      <x:c r="H146" s="20" t="n">
        <x:v>3.5</x:v>
      </x:c>
      <x:c r="I146" s="20" t="n">
        <x:v>3.5</x:v>
      </x:c>
      <x:c r="J146" t="str">
        <x:v>Azad Jammu &amp; Kashmir</x:v>
      </x:c>
      <x:c r="K146" t="str">
        <x:v>Riali-II–Muzaffarabad</x:v>
      </x:c>
      <x:c r="L146" s="22" t="n">
        <x:v>34.37</x:v>
      </x:c>
      <x:c r="M146" s="22" t="n">
        <x:v>73.47</x:v>
      </x:c>
      <x:c r="N146" t="str">
        <x:v>Regional locality</x:v>
      </x:c>
      <x:c r="O146" t="str">
        <x:v>Jun-25</x:v>
      </x:c>
      <x:c r="P146" t="str">
        <x:v>PPIB</x:v>
      </x:c>
      <x:c r="Q146"/>
      <x:c r="R146" t="str">
        <x:v>Riali-II</x:v>
      </x:c>
      <x:c r="S146" t="n">
        <x:v>126</x:v>
      </x:c>
      <x:c r="T146" t="str">
        <x:v>Table 6-8</x:v>
      </x:c>
      <x:c r="U146" t="n">
        <x:v>118</x:v>
      </x:c>
      <x:c r="V146" t="n">
        <x:v>69</x:v>
      </x:c>
      <x:c r="W146" t="str">
        <x:v>Region inferred from project/agency context; site not geocoded.</x:v>
      </x:c>
      <x:c r="X146" s="24" t="n">
        <x:v>54.66</x:v>
      </x:c>
      <x:c r="Y146" s="24" t="n">
        <x:v>54.64</x:v>
      </x:c>
      <x:c r="Z146" s="24" t="n">
        <x:v>54.79</x:v>
      </x:c>
      <x:c r="AA146" s="24" t="n">
        <x:v>54.79</x:v>
      </x:c>
      <x:c r="AB146" s="24" t="n">
        <x:v>54.79</x:v>
      </x:c>
      <x:c r="AC146" s="24" t="n">
        <x:v>54.64</x:v>
      </x:c>
      <x:c r="AD146" s="24" t="n">
        <x:v>54.77</x:v>
      </x:c>
      <x:c r="AE146" s="24" t="n">
        <x:v>54.63</x:v>
      </x:c>
      <x:c r="AF146" s="24" t="n">
        <x:v>54.63</x:v>
      </x:c>
    </x:row>
    <x:row r="147" ht="18" customHeight="1">
      <x:c r="A147" t="str">
        <x:v>A008</x:v>
      </x:c>
      <x:c r="B147" t="str">
        <x:v>Riali-II (U#2)</x:v>
      </x:c>
      <x:c r="C147" t="str">
        <x:v>Addition</x:v>
      </x:c>
      <x:c r="D147" s="26" t="n">
        <x:v>2025</x:v>
      </x:c>
      <x:c r="E147" t="str">
        <x:v>Committed</x:v>
      </x:c>
      <x:c r="F147" t="str">
        <x:v>Hydro</x:v>
      </x:c>
      <x:c r="G147" t="str">
        <x:v>Hydro</x:v>
      </x:c>
      <x:c r="H147" s="20" t="n">
        <x:v>3.5</x:v>
      </x:c>
      <x:c r="I147" s="20" t="n">
        <x:v>3.5</x:v>
      </x:c>
      <x:c r="J147" t="str">
        <x:v>Azad Jammu &amp; Kashmir</x:v>
      </x:c>
      <x:c r="K147" t="str">
        <x:v>Riali-II–Muzaffarabad</x:v>
      </x:c>
      <x:c r="L147" s="22" t="n">
        <x:v>34.37</x:v>
      </x:c>
      <x:c r="M147" s="22" t="n">
        <x:v>73.47</x:v>
      </x:c>
      <x:c r="N147" t="str">
        <x:v>Regional locality</x:v>
      </x:c>
      <x:c r="O147" t="str">
        <x:v>Jun-25</x:v>
      </x:c>
      <x:c r="P147" t="str">
        <x:v>PPIB</x:v>
      </x:c>
      <x:c r="Q147"/>
      <x:c r="R147" t="str">
        <x:v>Riali-II</x:v>
      </x:c>
      <x:c r="S147" t="n">
        <x:v>126</x:v>
      </x:c>
      <x:c r="T147" t="str">
        <x:v>Table 6-8</x:v>
      </x:c>
      <x:c r="U147" t="n">
        <x:v>118</x:v>
      </x:c>
      <x:c r="V147" t="n">
        <x:v>69</x:v>
      </x:c>
      <x:c r="W147" t="str">
        <x:v>Region inferred from project/agency context; site not geocoded.</x:v>
      </x:c>
      <x:c r="X147" s="24" t="n">
        <x:v>54.66</x:v>
      </x:c>
      <x:c r="Y147" s="24" t="n">
        <x:v>54.64</x:v>
      </x:c>
      <x:c r="Z147" s="24" t="n">
        <x:v>54.79</x:v>
      </x:c>
      <x:c r="AA147" s="24" t="n">
        <x:v>54.79</x:v>
      </x:c>
      <x:c r="AB147" s="24" t="n">
        <x:v>54.79</x:v>
      </x:c>
      <x:c r="AC147" s="24" t="n">
        <x:v>54.64</x:v>
      </x:c>
      <x:c r="AD147" s="24" t="n">
        <x:v>54.77</x:v>
      </x:c>
      <x:c r="AE147" s="24" t="n">
        <x:v>54.63</x:v>
      </x:c>
      <x:c r="AF147" s="24" t="n">
        <x:v>54.63</x:v>
      </x:c>
    </x:row>
    <x:row r="148" ht="18" customHeight="1">
      <x:c r="A148" t="str">
        <x:v>A009</x:v>
      </x:c>
      <x:c r="B148" t="str">
        <x:v>Kurram Tangi</x:v>
      </x:c>
      <x:c r="C148" t="str">
        <x:v>Addition</x:v>
      </x:c>
      <x:c r="D148" s="26" t="n">
        <x:v>2025</x:v>
      </x:c>
      <x:c r="E148" t="str">
        <x:v>Committed</x:v>
      </x:c>
      <x:c r="F148" t="str">
        <x:v>Hydro</x:v>
      </x:c>
      <x:c r="G148" t="str">
        <x:v>Hydro</x:v>
      </x:c>
      <x:c r="H148" s="20" t="n">
        <x:v>18</x:v>
      </x:c>
      <x:c r="I148" s="20" t="n">
        <x:v>18</x:v>
      </x:c>
      <x:c r="J148" t="str">
        <x:v>Khyber Pakhtunkhwa</x:v>
      </x:c>
      <x:c r="K148" t="str">
        <x:v>Kurram Tangi–North Waziristan</x:v>
      </x:c>
      <x:c r="L148" s="22" t="n">
        <x:v>32.72</x:v>
      </x:c>
      <x:c r="M148" s="22" t="n">
        <x:v>70.5</x:v>
      </x:c>
      <x:c r="N148" t="str">
        <x:v>Site vicinity</x:v>
      </x:c>
      <x:c r="O148" t="str">
        <x:v>Jun-25</x:v>
      </x:c>
      <x:c r="P148" t="str">
        <x:v>WAPDA</x:v>
      </x:c>
      <x:c r="Q148"/>
      <x:c r="R148" t="str">
        <x:v>Kurram Tangi</x:v>
      </x:c>
      <x:c r="S148" t="n">
        <x:v>126</x:v>
      </x:c>
      <x:c r="T148" t="str">
        <x:v>Table 6-8</x:v>
      </x:c>
      <x:c r="U148" t="n">
        <x:v>118</x:v>
      </x:c>
      <x:c r="V148" t="n">
        <x:v>69</x:v>
      </x:c>
      <x:c r="W148" t="str">
        <x:v>Plant coordinates are not provided in the IGCEP; plotted coordinates are indicative.</x:v>
      </x:c>
      <x:c r="X148" s="24" t="n">
        <x:v>17.05</x:v>
      </x:c>
      <x:c r="Y148" s="24" t="n">
        <x:v>17.01</x:v>
      </x:c>
      <x:c r="Z148" s="24" t="n">
        <x:v>17.05</x:v>
      </x:c>
      <x:c r="AA148" s="24" t="n">
        <x:v>17.05</x:v>
      </x:c>
      <x:c r="AB148" s="24" t="n">
        <x:v>17.05</x:v>
      </x:c>
      <x:c r="AC148" s="24" t="n">
        <x:v>17.01</x:v>
      </x:c>
      <x:c r="AD148" s="24" t="n">
        <x:v>16.93</x:v>
      </x:c>
      <x:c r="AE148" s="24" t="n">
        <x:v>16.93</x:v>
      </x:c>
      <x:c r="AF148" s="24" t="n">
        <x:v>16.93</x:v>
      </x:c>
    </x:row>
    <x:row r="149" ht="18" customHeight="1">
      <x:c r="A149" t="str">
        <x:v>A010</x:v>
      </x:c>
      <x:c r="B149" t="str">
        <x:v>Net Meter</x:v>
      </x:c>
      <x:c r="C149" t="str">
        <x:v>Addition</x:v>
      </x:c>
      <x:c r="D149" s="26" t="n">
        <x:v>2025</x:v>
      </x:c>
      <x:c r="E149" t="str">
        <x:v>Committed</x:v>
      </x:c>
      <x:c r="F149" t="str">
        <x:v>Solar PV</x:v>
      </x:c>
      <x:c r="G149" t="str">
        <x:v>PV</x:v>
      </x:c>
      <x:c r="H149" s="20" t="n">
        <x:v>2400</x:v>
      </x:c>
      <x:c r="I149" s="20" t="n">
        <x:v>2400</x:v>
      </x:c>
      <x:c r="J149" t="str">
        <x:v>Unspecified / distributed</x:v>
      </x:c>
      <x:c r="K149"/>
      <x:c r="L149" s="22"/>
      <x:c r="M149" s="22"/>
      <x:c r="N149" t="str">
        <x:v>Not located in IGCEP</x:v>
      </x:c>
      <x:c r="O149" t="str">
        <x:v>Jul-24</x:v>
      </x:c>
      <x:c r="P149" t="str">
        <x:v>NGC</x:v>
      </x:c>
      <x:c r="Q149"/>
      <x:c r="R149"/>
      <x:c r="S149"/>
      <x:c r="T149" t="str">
        <x:v>Table 6-8</x:v>
      </x:c>
      <x:c r="U149" t="n">
        <x:v>118</x:v>
      </x:c>
      <x:c r="V149" t="n">
        <x:v>69</x:v>
      </x:c>
      <x:c r="W149" t="str">
        <x:v>Aggregated/distributed or generic procurement capacity; no plant-level site in Table 6-8.</x:v>
      </x:c>
      <x:c r="X149" s="24"/>
      <x:c r="Y149" s="24"/>
      <x:c r="Z149" s="24"/>
      <x:c r="AA149" s="24"/>
      <x:c r="AB149" s="24"/>
      <x:c r="AC149" s="24"/>
      <x:c r="AD149" s="24"/>
      <x:c r="AE149" s="24"/>
      <x:c r="AF149" s="24"/>
    </x:row>
    <x:row r="150" ht="18" customHeight="1">
      <x:c r="A150" t="str">
        <x:v>A011</x:v>
      </x:c>
      <x:c r="B150" t="str">
        <x:v>Gorkin Matiltan</x:v>
      </x:c>
      <x:c r="C150" t="str">
        <x:v>Addition</x:v>
      </x:c>
      <x:c r="D150" s="26" t="n">
        <x:v>2026</x:v>
      </x:c>
      <x:c r="E150" t="str">
        <x:v>Committed</x:v>
      </x:c>
      <x:c r="F150" t="str">
        <x:v>Hydro</x:v>
      </x:c>
      <x:c r="G150" t="str">
        <x:v>Hydro</x:v>
      </x:c>
      <x:c r="H150" s="20" t="n">
        <x:v>84</x:v>
      </x:c>
      <x:c r="I150" s="20" t="n">
        <x:v>84</x:v>
      </x:c>
      <x:c r="J150" t="str">
        <x:v>Khyber Pakhtunkhwa</x:v>
      </x:c>
      <x:c r="K150" t="str">
        <x:v>Matiltan–Swat</x:v>
      </x:c>
      <x:c r="L150" s="22" t="n">
        <x:v>35.5</x:v>
      </x:c>
      <x:c r="M150" s="22" t="n">
        <x:v>72.62</x:v>
      </x:c>
      <x:c r="N150" t="str">
        <x:v>Site vicinity</x:v>
      </x:c>
      <x:c r="O150" t="str">
        <x:v>Aug-25</x:v>
      </x:c>
      <x:c r="P150" t="str">
        <x:v>GoKPK</x:v>
      </x:c>
      <x:c r="Q150"/>
      <x:c r="R150" t="str">
        <x:v>Gorkin Matiltan</x:v>
      </x:c>
      <x:c r="S150" t="n">
        <x:v>125</x:v>
      </x:c>
      <x:c r="T150" t="str">
        <x:v>Table 6-8</x:v>
      </x:c>
      <x:c r="U150" t="n">
        <x:v>118</x:v>
      </x:c>
      <x:c r="V150" t="n">
        <x:v>69</x:v>
      </x:c>
      <x:c r="W150" t="str">
        <x:v>Region inferred from project/agency context; site not geocoded.</x:v>
      </x:c>
      <x:c r="X150" s="24" t="n">
        <x:v>44.7</x:v>
      </x:c>
      <x:c r="Y150" s="24" t="n">
        <x:v>44.37</x:v>
      </x:c>
      <x:c r="Z150" s="24" t="n">
        <x:v>44.49</x:v>
      </x:c>
      <x:c r="AA150" s="24" t="n">
        <x:v>44.21</x:v>
      </x:c>
      <x:c r="AB150" s="24" t="n">
        <x:v>44.06</x:v>
      </x:c>
      <x:c r="AC150" s="24" t="n">
        <x:v>43.94</x:v>
      </x:c>
      <x:c r="AD150" s="24" t="n">
        <x:v>43.36</x:v>
      </x:c>
      <x:c r="AE150" s="24" t="n">
        <x:v>43.5</x:v>
      </x:c>
      <x:c r="AF150" s="24" t="n">
        <x:v>43.99</x:v>
      </x:c>
    </x:row>
    <x:row r="151" ht="18" customHeight="1">
      <x:c r="A151" t="str">
        <x:v>A012</x:v>
      </x:c>
      <x:c r="B151" t="str">
        <x:v>Nardagian</x:v>
      </x:c>
      <x:c r="C151" t="str">
        <x:v>Addition</x:v>
      </x:c>
      <x:c r="D151" s="26" t="n">
        <x:v>2026</x:v>
      </x:c>
      <x:c r="E151" t="str">
        <x:v>Committed</x:v>
      </x:c>
      <x:c r="F151" t="str">
        <x:v>Hydro</x:v>
      </x:c>
      <x:c r="G151" t="str">
        <x:v>Hydro</x:v>
      </x:c>
      <x:c r="H151" s="20" t="n">
        <x:v>3.22</x:v>
      </x:c>
      <x:c r="I151" s="20" t="n">
        <x:v>3.22</x:v>
      </x:c>
      <x:c r="J151" t="str">
        <x:v>Azad Jammu &amp; Kashmir</x:v>
      </x:c>
      <x:c r="K151"/>
      <x:c r="L151" s="22"/>
      <x:c r="M151" s="22"/>
      <x:c r="N151" t="str">
        <x:v>Not located in IGCEP</x:v>
      </x:c>
      <x:c r="O151" t="str">
        <x:v>Dec-25</x:v>
      </x:c>
      <x:c r="P151" t="str">
        <x:v>AJK-HEB</x:v>
      </x:c>
      <x:c r="Q151"/>
      <x:c r="R151" t="str">
        <x:v>Nardagian</x:v>
      </x:c>
      <x:c r="S151" t="n">
        <x:v>126</x:v>
      </x:c>
      <x:c r="T151" t="str">
        <x:v>Table 6-8</x:v>
      </x:c>
      <x:c r="U151" t="n">
        <x:v>118</x:v>
      </x:c>
      <x:c r="V151" t="n">
        <x:v>69</x:v>
      </x:c>
      <x:c r="W151" t="str">
        <x:v>Region inferred from project/agency context; site not geocoded.</x:v>
      </x:c>
      <x:c r="X151" s="24" t="n">
        <x:v>48.25</x:v>
      </x:c>
      <x:c r="Y151" s="24" t="n">
        <x:v>48.37</x:v>
      </x:c>
      <x:c r="Z151" s="24" t="n">
        <x:v>48.5</x:v>
      </x:c>
      <x:c r="AA151" s="24" t="n">
        <x:v>48.5</x:v>
      </x:c>
      <x:c r="AB151" s="24" t="n">
        <x:v>48.5</x:v>
      </x:c>
      <x:c r="AC151" s="24" t="n">
        <x:v>48.37</x:v>
      </x:c>
      <x:c r="AD151" s="24" t="n">
        <x:v>48.5</x:v>
      </x:c>
      <x:c r="AE151" s="24" t="n">
        <x:v>48.5</x:v>
      </x:c>
      <x:c r="AF151" s="24" t="n">
        <x:v>48.5</x:v>
      </x:c>
    </x:row>
    <x:row r="152" ht="18" customHeight="1">
      <x:c r="A152" t="str">
        <x:v>A013</x:v>
      </x:c>
      <x:c r="B152" t="str">
        <x:v>Mangla Refurshbiment (U#1&amp;2)</x:v>
      </x:c>
      <x:c r="C152" t="str">
        <x:v>Addition</x:v>
      </x:c>
      <x:c r="D152" s="26" t="n">
        <x:v>2026</x:v>
      </x:c>
      <x:c r="E152" t="str">
        <x:v>Committed</x:v>
      </x:c>
      <x:c r="F152" t="str">
        <x:v>Hydro</x:v>
      </x:c>
      <x:c r="G152" t="str">
        <x:v>Hydro</x:v>
      </x:c>
      <x:c r="H152" s="20" t="n">
        <x:v>70</x:v>
      </x:c>
      <x:c r="I152" s="20" t="n">
        <x:v>70</x:v>
      </x:c>
      <x:c r="J152" t="str">
        <x:v>Azad Jammu &amp; Kashmir</x:v>
      </x:c>
      <x:c r="K152" t="str">
        <x:v>Mangla–Mirpur</x:v>
      </x:c>
      <x:c r="L152" s="22" t="n">
        <x:v>33.12</x:v>
      </x:c>
      <x:c r="M152" s="22" t="n">
        <x:v>73.65</x:v>
      </x:c>
      <x:c r="N152" t="str">
        <x:v>Site vicinity</x:v>
      </x:c>
      <x:c r="O152" t="str">
        <x:v>Feb-26</x:v>
      </x:c>
      <x:c r="P152" t="str">
        <x:v>WAPDA</x:v>
      </x:c>
      <x:c r="Q152"/>
      <x:c r="R152"/>
      <x:c r="S152"/>
      <x:c r="T152" t="str">
        <x:v>Table 6-8</x:v>
      </x:c>
      <x:c r="U152" t="n">
        <x:v>118</x:v>
      </x:c>
      <x:c r="V152" t="n">
        <x:v>69</x:v>
      </x:c>
      <x:c r="W152" t="str">
        <x:v>Plant coordinates are not provided in the IGCEP; plotted coordinates are indicative.</x:v>
      </x:c>
      <x:c r="X152" s="24"/>
      <x:c r="Y152" s="24"/>
      <x:c r="Z152" s="24"/>
      <x:c r="AA152" s="24"/>
      <x:c r="AB152" s="24"/>
      <x:c r="AC152" s="24"/>
      <x:c r="AD152" s="24"/>
      <x:c r="AE152" s="24"/>
      <x:c r="AF152" s="24"/>
    </x:row>
    <x:row r="153" ht="18" customHeight="1">
      <x:c r="A153" t="str">
        <x:v>A014</x:v>
      </x:c>
      <x:c r="B153" t="str">
        <x:v>Net Meter</x:v>
      </x:c>
      <x:c r="C153" t="str">
        <x:v>Addition</x:v>
      </x:c>
      <x:c r="D153" s="26" t="n">
        <x:v>2026</x:v>
      </x:c>
      <x:c r="E153" t="str">
        <x:v>Committed</x:v>
      </x:c>
      <x:c r="F153" t="str">
        <x:v>Solar PV</x:v>
      </x:c>
      <x:c r="G153" t="str">
        <x:v>PV</x:v>
      </x:c>
      <x:c r="H153" s="20" t="n">
        <x:v>1200</x:v>
      </x:c>
      <x:c r="I153" s="20" t="n">
        <x:v>1200</x:v>
      </x:c>
      <x:c r="J153" t="str">
        <x:v>Unspecified / distributed</x:v>
      </x:c>
      <x:c r="K153"/>
      <x:c r="L153" s="22"/>
      <x:c r="M153" s="22"/>
      <x:c r="N153" t="str">
        <x:v>Not located in IGCEP</x:v>
      </x:c>
      <x:c r="O153" t="str">
        <x:v>Jul-25</x:v>
      </x:c>
      <x:c r="P153" t="str">
        <x:v>NGC</x:v>
      </x:c>
      <x:c r="Q153"/>
      <x:c r="R153"/>
      <x:c r="S153"/>
      <x:c r="T153" t="str">
        <x:v>Table 6-8</x:v>
      </x:c>
      <x:c r="U153" t="n">
        <x:v>118</x:v>
      </x:c>
      <x:c r="V153" t="n">
        <x:v>69</x:v>
      </x:c>
      <x:c r="W153" t="str">
        <x:v>Aggregated/distributed or generic procurement capacity; no plant-level site in Table 6-8.</x:v>
      </x:c>
      <x:c r="X153" s="24"/>
      <x:c r="Y153" s="24"/>
      <x:c r="Z153" s="24"/>
      <x:c r="AA153" s="24"/>
      <x:c r="AB153" s="24"/>
      <x:c r="AC153" s="24"/>
      <x:c r="AD153" s="24"/>
      <x:c r="AE153" s="24"/>
      <x:c r="AF153" s="24"/>
    </x:row>
    <x:row r="154" ht="18" customHeight="1">
      <x:c r="A154" t="str">
        <x:v>A015</x:v>
      </x:c>
      <x:c r="B154" t="str">
        <x:v>Tarbela_Ext_5 (U#1)</x:v>
      </x:c>
      <x:c r="C154" t="str">
        <x:v>Addition</x:v>
      </x:c>
      <x:c r="D154" s="26" t="n">
        <x:v>2027</x:v>
      </x:c>
      <x:c r="E154" t="str">
        <x:v>Committed</x:v>
      </x:c>
      <x:c r="F154" t="str">
        <x:v>Hydro</x:v>
      </x:c>
      <x:c r="G154" t="str">
        <x:v>Hydro</x:v>
      </x:c>
      <x:c r="H154" s="20" t="n">
        <x:v>510</x:v>
      </x:c>
      <x:c r="I154" s="20" t="n">
        <x:v>510</x:v>
      </x:c>
      <x:c r="J154" t="str">
        <x:v>Khyber Pakhtunkhwa</x:v>
      </x:c>
      <x:c r="K154" t="str">
        <x:v>Tarbela–Ghazi Barotha</x:v>
      </x:c>
      <x:c r="L154" s="22" t="n">
        <x:v>34.1</x:v>
      </x:c>
      <x:c r="M154" s="22" t="n">
        <x:v>72.77</x:v>
      </x:c>
      <x:c r="N154" t="str">
        <x:v>Site vicinity</x:v>
      </x:c>
      <x:c r="O154" t="str">
        <x:v>Sep-26</x:v>
      </x:c>
      <x:c r="P154" t="str">
        <x:v>WAPDA</x:v>
      </x:c>
      <x:c r="Q154"/>
      <x:c r="R154" t="str">
        <x:v>Tarbela_Ext_5</x:v>
      </x:c>
      <x:c r="S154" t="n">
        <x:v>126</x:v>
      </x:c>
      <x:c r="T154" t="str">
        <x:v>Table 6-8</x:v>
      </x:c>
      <x:c r="U154" t="n">
        <x:v>118</x:v>
      </x:c>
      <x:c r="V154" t="n">
        <x:v>69</x:v>
      </x:c>
      <x:c r="W154" t="str">
        <x:v>Plant coordinates are not provided in the IGCEP; plotted coordinates are indicative.</x:v>
      </x:c>
      <x:c r="X154" s="24" t="n">
        <x:v>5.39</x:v>
      </x:c>
      <x:c r="Y154" s="24" t="n">
        <x:v>10.02</x:v>
      </x:c>
      <x:c r="Z154" s="24" t="n">
        <x:v>10.05</x:v>
      </x:c>
      <x:c r="AA154" s="24" t="n">
        <x:v>10.05</x:v>
      </x:c>
      <x:c r="AB154" s="24" t="n">
        <x:v>10.05</x:v>
      </x:c>
      <x:c r="AC154" s="24" t="n">
        <x:v>10.02</x:v>
      </x:c>
      <x:c r="AD154" s="24" t="n">
        <x:v>10.05</x:v>
      </x:c>
      <x:c r="AE154" s="24" t="n">
        <x:v>10.05</x:v>
      </x:c>
      <x:c r="AF154" s="24" t="n">
        <x:v>10.05</x:v>
      </x:c>
    </x:row>
    <x:row r="155" ht="18" customHeight="1">
      <x:c r="A155" t="str">
        <x:v>A016</x:v>
      </x:c>
      <x:c r="B155" t="str">
        <x:v>Tarbela_Ext_5 (U#2)</x:v>
      </x:c>
      <x:c r="C155" t="str">
        <x:v>Addition</x:v>
      </x:c>
      <x:c r="D155" s="26" t="n">
        <x:v>2027</x:v>
      </x:c>
      <x:c r="E155" t="str">
        <x:v>Committed</x:v>
      </x:c>
      <x:c r="F155" t="str">
        <x:v>Hydro</x:v>
      </x:c>
      <x:c r="G155" t="str">
        <x:v>Hydro</x:v>
      </x:c>
      <x:c r="H155" s="20" t="n">
        <x:v>510</x:v>
      </x:c>
      <x:c r="I155" s="20" t="n">
        <x:v>510</x:v>
      </x:c>
      <x:c r="J155" t="str">
        <x:v>Khyber Pakhtunkhwa</x:v>
      </x:c>
      <x:c r="K155" t="str">
        <x:v>Tarbela–Ghazi Barotha</x:v>
      </x:c>
      <x:c r="L155" s="22" t="n">
        <x:v>34.1</x:v>
      </x:c>
      <x:c r="M155" s="22" t="n">
        <x:v>72.77</x:v>
      </x:c>
      <x:c r="N155" t="str">
        <x:v>Site vicinity</x:v>
      </x:c>
      <x:c r="O155" t="str">
        <x:v>Nov-26</x:v>
      </x:c>
      <x:c r="P155" t="str">
        <x:v>WAPDA</x:v>
      </x:c>
      <x:c r="Q155"/>
      <x:c r="R155" t="str">
        <x:v>Tarbela_Ext_5</x:v>
      </x:c>
      <x:c r="S155" t="n">
        <x:v>126</x:v>
      </x:c>
      <x:c r="T155" t="str">
        <x:v>Table 6-8</x:v>
      </x:c>
      <x:c r="U155" t="n">
        <x:v>118</x:v>
      </x:c>
      <x:c r="V155" t="n">
        <x:v>69</x:v>
      </x:c>
      <x:c r="W155" t="str">
        <x:v>Plant coordinates are not provided in the IGCEP; plotted coordinates are indicative.</x:v>
      </x:c>
      <x:c r="X155" s="24" t="n">
        <x:v>5.39</x:v>
      </x:c>
      <x:c r="Y155" s="24" t="n">
        <x:v>10.02</x:v>
      </x:c>
      <x:c r="Z155" s="24" t="n">
        <x:v>10.05</x:v>
      </x:c>
      <x:c r="AA155" s="24" t="n">
        <x:v>10.05</x:v>
      </x:c>
      <x:c r="AB155" s="24" t="n">
        <x:v>10.05</x:v>
      </x:c>
      <x:c r="AC155" s="24" t="n">
        <x:v>10.02</x:v>
      </x:c>
      <x:c r="AD155" s="24" t="n">
        <x:v>10.05</x:v>
      </x:c>
      <x:c r="AE155" s="24" t="n">
        <x:v>10.05</x:v>
      </x:c>
      <x:c r="AF155" s="24" t="n">
        <x:v>10.05</x:v>
      </x:c>
    </x:row>
    <x:row r="156" ht="18" customHeight="1">
      <x:c r="A156" t="str">
        <x:v>A017</x:v>
      </x:c>
      <x:c r="B156" t="str">
        <x:v>Tarbela_Ext_5 (U#3)</x:v>
      </x:c>
      <x:c r="C156" t="str">
        <x:v>Addition</x:v>
      </x:c>
      <x:c r="D156" s="26" t="n">
        <x:v>2027</x:v>
      </x:c>
      <x:c r="E156" t="str">
        <x:v>Committed</x:v>
      </x:c>
      <x:c r="F156" t="str">
        <x:v>Hydro</x:v>
      </x:c>
      <x:c r="G156" t="str">
        <x:v>Hydro</x:v>
      </x:c>
      <x:c r="H156" s="20" t="n">
        <x:v>510</x:v>
      </x:c>
      <x:c r="I156" s="20" t="n">
        <x:v>510</x:v>
      </x:c>
      <x:c r="J156" t="str">
        <x:v>Khyber Pakhtunkhwa</x:v>
      </x:c>
      <x:c r="K156" t="str">
        <x:v>Tarbela–Ghazi Barotha</x:v>
      </x:c>
      <x:c r="L156" s="22" t="n">
        <x:v>34.1</x:v>
      </x:c>
      <x:c r="M156" s="22" t="n">
        <x:v>72.77</x:v>
      </x:c>
      <x:c r="N156" t="str">
        <x:v>Site vicinity</x:v>
      </x:c>
      <x:c r="O156" t="str">
        <x:v>Dec-26</x:v>
      </x:c>
      <x:c r="P156" t="str">
        <x:v>WAPDA</x:v>
      </x:c>
      <x:c r="Q156"/>
      <x:c r="R156" t="str">
        <x:v>Tarbela_Ext_5</x:v>
      </x:c>
      <x:c r="S156" t="n">
        <x:v>126</x:v>
      </x:c>
      <x:c r="T156" t="str">
        <x:v>Table 6-8</x:v>
      </x:c>
      <x:c r="U156" t="n">
        <x:v>118</x:v>
      </x:c>
      <x:c r="V156" t="n">
        <x:v>69</x:v>
      </x:c>
      <x:c r="W156" t="str">
        <x:v>Plant coordinates are not provided in the IGCEP; plotted coordinates are indicative.</x:v>
      </x:c>
      <x:c r="X156" s="24" t="n">
        <x:v>5.39</x:v>
      </x:c>
      <x:c r="Y156" s="24" t="n">
        <x:v>10.02</x:v>
      </x:c>
      <x:c r="Z156" s="24" t="n">
        <x:v>10.05</x:v>
      </x:c>
      <x:c r="AA156" s="24" t="n">
        <x:v>10.05</x:v>
      </x:c>
      <x:c r="AB156" s="24" t="n">
        <x:v>10.05</x:v>
      </x:c>
      <x:c r="AC156" s="24" t="n">
        <x:v>10.02</x:v>
      </x:c>
      <x:c r="AD156" s="24" t="n">
        <x:v>10.05</x:v>
      </x:c>
      <x:c r="AE156" s="24" t="n">
        <x:v>10.05</x:v>
      </x:c>
      <x:c r="AF156" s="24" t="n">
        <x:v>10.05</x:v>
      </x:c>
    </x:row>
    <x:row r="157" ht="18" customHeight="1">
      <x:c r="A157" t="str">
        <x:v>A018</x:v>
      </x:c>
      <x:c r="B157" t="str">
        <x:v>Dasu (U#1)</x:v>
      </x:c>
      <x:c r="C157" t="str">
        <x:v>Addition</x:v>
      </x:c>
      <x:c r="D157" s="26" t="n">
        <x:v>2027</x:v>
      </x:c>
      <x:c r="E157" t="str">
        <x:v>Committed</x:v>
      </x:c>
      <x:c r="F157" t="str">
        <x:v>Hydro</x:v>
      </x:c>
      <x:c r="G157" t="str">
        <x:v>Hydro</x:v>
      </x:c>
      <x:c r="H157" s="20" t="n">
        <x:v>360</x:v>
      </x:c>
      <x:c r="I157" s="20" t="n">
        <x:v>360</x:v>
      </x:c>
      <x:c r="J157" t="str">
        <x:v>Khyber Pakhtunkhwa</x:v>
      </x:c>
      <x:c r="K157" t="str">
        <x:v>Dasu–Upper Kohistan</x:v>
      </x:c>
      <x:c r="L157" s="22" t="n">
        <x:v>35.3</x:v>
      </x:c>
      <x:c r="M157" s="22" t="n">
        <x:v>73.2</x:v>
      </x:c>
      <x:c r="N157" t="str">
        <x:v>Site vicinity</x:v>
      </x:c>
      <x:c r="O157" t="str">
        <x:v>May-27</x:v>
      </x:c>
      <x:c r="P157" t="str">
        <x:v>WAPDA</x:v>
      </x:c>
      <x:c r="Q157"/>
      <x:c r="R157" t="str">
        <x:v>Dasu</x:v>
      </x:c>
      <x:c r="S157" t="n">
        <x:v>125</x:v>
      </x:c>
      <x:c r="T157" t="str">
        <x:v>Table 6-8</x:v>
      </x:c>
      <x:c r="U157" t="n">
        <x:v>118</x:v>
      </x:c>
      <x:c r="V157" t="n">
        <x:v>69</x:v>
      </x:c>
      <x:c r="W157" t="str">
        <x:v>Plant coordinates are not provided in the IGCEP; plotted coordinates are indicative.</x:v>
      </x:c>
      <x:c r="X157" s="24" t="n">
        <x:v>99</x:v>
      </x:c>
      <x:c r="Y157" s="24" t="n">
        <x:v>69.82</x:v>
      </x:c>
      <x:c r="Z157" s="24" t="n">
        <x:v>64.52</x:v>
      </x:c>
      <x:c r="AA157" s="24" t="n">
        <x:v>64.52</x:v>
      </x:c>
      <x:c r="AB157" s="24" t="n">
        <x:v>64.52</x:v>
      </x:c>
      <x:c r="AC157" s="24" t="n">
        <x:v>64.27</x:v>
      </x:c>
      <x:c r="AD157" s="24" t="n">
        <x:v>64.26</x:v>
      </x:c>
      <x:c r="AE157" s="24" t="n">
        <x:v>64.02</x:v>
      </x:c>
      <x:c r="AF157" s="24" t="n">
        <x:v>64</x:v>
      </x:c>
    </x:row>
    <x:row r="158" ht="18" customHeight="1">
      <x:c r="A158" t="str">
        <x:v>A019</x:v>
      </x:c>
      <x:c r="B158" t="str">
        <x:v>Mangla Refurshbiment (U#9&amp;10)</x:v>
      </x:c>
      <x:c r="C158" t="str">
        <x:v>Addition</x:v>
      </x:c>
      <x:c r="D158" s="26" t="n">
        <x:v>2027</x:v>
      </x:c>
      <x:c r="E158" t="str">
        <x:v>Committed</x:v>
      </x:c>
      <x:c r="F158" t="str">
        <x:v>Hydro</x:v>
      </x:c>
      <x:c r="G158" t="str">
        <x:v>Hydro</x:v>
      </x:c>
      <x:c r="H158" s="20" t="n">
        <x:v>70</x:v>
      </x:c>
      <x:c r="I158" s="20" t="n">
        <x:v>70</x:v>
      </x:c>
      <x:c r="J158" t="str">
        <x:v>Azad Jammu &amp; Kashmir</x:v>
      </x:c>
      <x:c r="K158" t="str">
        <x:v>Mangla–Mirpur</x:v>
      </x:c>
      <x:c r="L158" s="22" t="n">
        <x:v>33.12</x:v>
      </x:c>
      <x:c r="M158" s="22" t="n">
        <x:v>73.65</x:v>
      </x:c>
      <x:c r="N158" t="str">
        <x:v>Site vicinity</x:v>
      </x:c>
      <x:c r="O158" t="str">
        <x:v>Jun-27</x:v>
      </x:c>
      <x:c r="P158" t="str">
        <x:v>WAPDA</x:v>
      </x:c>
      <x:c r="Q158"/>
      <x:c r="R158"/>
      <x:c r="S158"/>
      <x:c r="T158" t="str">
        <x:v>Table 6-8</x:v>
      </x:c>
      <x:c r="U158" t="n">
        <x:v>118</x:v>
      </x:c>
      <x:c r="V158" t="n">
        <x:v>69</x:v>
      </x:c>
      <x:c r="W158" t="str">
        <x:v>Plant coordinates are not provided in the IGCEP; plotted coordinates are indicative.</x:v>
      </x:c>
      <x:c r="X158" s="24"/>
      <x:c r="Y158" s="24"/>
      <x:c r="Z158" s="24"/>
      <x:c r="AA158" s="24"/>
      <x:c r="AB158" s="24"/>
      <x:c r="AC158" s="24"/>
      <x:c r="AD158" s="24"/>
      <x:c r="AE158" s="24"/>
      <x:c r="AF158" s="24"/>
    </x:row>
    <x:row r="159" ht="18" customHeight="1">
      <x:c r="A159" t="str">
        <x:v>A020</x:v>
      </x:c>
      <x:c r="B159" t="str">
        <x:v>Net Meter</x:v>
      </x:c>
      <x:c r="C159" t="str">
        <x:v>Addition</x:v>
      </x:c>
      <x:c r="D159" s="26" t="n">
        <x:v>2027</x:v>
      </x:c>
      <x:c r="E159" t="str">
        <x:v>Committed</x:v>
      </x:c>
      <x:c r="F159" t="str">
        <x:v>Solar PV</x:v>
      </x:c>
      <x:c r="G159" t="str">
        <x:v>PV</x:v>
      </x:c>
      <x:c r="H159" s="20" t="n">
        <x:v>900</x:v>
      </x:c>
      <x:c r="I159" s="20" t="n">
        <x:v>900</x:v>
      </x:c>
      <x:c r="J159" t="str">
        <x:v>Unspecified / distributed</x:v>
      </x:c>
      <x:c r="K159"/>
      <x:c r="L159" s="22"/>
      <x:c r="M159" s="22"/>
      <x:c r="N159" t="str">
        <x:v>Not located in IGCEP</x:v>
      </x:c>
      <x:c r="O159" t="str">
        <x:v>Jul-26</x:v>
      </x:c>
      <x:c r="P159" t="str">
        <x:v>NGC</x:v>
      </x:c>
      <x:c r="Q159"/>
      <x:c r="R159"/>
      <x:c r="S159"/>
      <x:c r="T159" t="str">
        <x:v>Table 6-8</x:v>
      </x:c>
      <x:c r="U159" t="n">
        <x:v>118</x:v>
      </x:c>
      <x:c r="V159" t="n">
        <x:v>69</x:v>
      </x:c>
      <x:c r="W159" t="str">
        <x:v>Aggregated/distributed or generic procurement capacity; no plant-level site in Table 6-8.</x:v>
      </x:c>
      <x:c r="X159" s="24"/>
      <x:c r="Y159" s="24"/>
      <x:c r="Z159" s="24"/>
      <x:c r="AA159" s="24"/>
      <x:c r="AB159" s="24"/>
      <x:c r="AC159" s="24"/>
      <x:c r="AD159" s="24"/>
      <x:c r="AE159" s="24"/>
      <x:c r="AF159" s="24"/>
    </x:row>
    <x:row r="160" ht="18" customHeight="1">
      <x:c r="A160" t="str">
        <x:v>A021</x:v>
      </x:c>
      <x:c r="B160" t="str">
        <x:v>PV_Market</x:v>
      </x:c>
      <x:c r="C160" t="str">
        <x:v>Addition</x:v>
      </x:c>
      <x:c r="D160" s="26" t="n">
        <x:v>2027</x:v>
      </x:c>
      <x:c r="E160" t="str">
        <x:v>Committed</x:v>
      </x:c>
      <x:c r="F160" t="str">
        <x:v>Solar PV</x:v>
      </x:c>
      <x:c r="G160" t="str">
        <x:v>PV</x:v>
      </x:c>
      <x:c r="H160" s="20" t="n">
        <x:v>301.9</x:v>
      </x:c>
      <x:c r="I160" s="20" t="n">
        <x:v>301.9</x:v>
      </x:c>
      <x:c r="J160" t="str">
        <x:v>Unspecified / distributed</x:v>
      </x:c>
      <x:c r="K160"/>
      <x:c r="L160" s="22"/>
      <x:c r="M160" s="22"/>
      <x:c r="N160" t="str">
        <x:v>Not located in IGCEP</x:v>
      </x:c>
      <x:c r="O160" t="str">
        <x:v>Jul-26</x:v>
      </x:c>
      <x:c r="P160" t="str">
        <x:v>Market</x:v>
      </x:c>
      <x:c r="Q160"/>
      <x:c r="R160" t="str">
        <x:v>PV_Market</x:v>
      </x:c>
      <x:c r="S160" t="n">
        <x:v>121</x:v>
      </x:c>
      <x:c r="T160" t="str">
        <x:v>Table 6-8</x:v>
      </x:c>
      <x:c r="U160" t="n">
        <x:v>118</x:v>
      </x:c>
      <x:c r="V160" t="n">
        <x:v>69</x:v>
      </x:c>
      <x:c r="W160" t="str">
        <x:v>Aggregated/distributed or generic procurement capacity; no plant-level site in Table 6-8.</x:v>
      </x:c>
      <x:c r="X160" s="24" t="n">
        <x:v>21.01</x:v>
      </x:c>
      <x:c r="Y160" s="24" t="n">
        <x:v>20.98</x:v>
      </x:c>
      <x:c r="Z160" s="24" t="n">
        <x:v>21.01</x:v>
      </x:c>
      <x:c r="AA160" s="24" t="n">
        <x:v>21.01</x:v>
      </x:c>
      <x:c r="AB160" s="24" t="n">
        <x:v>21.01</x:v>
      </x:c>
      <x:c r="AC160" s="24" t="n">
        <x:v>20.98</x:v>
      </x:c>
      <x:c r="AD160" s="24" t="n">
        <x:v>21.01</x:v>
      </x:c>
      <x:c r="AE160" s="24" t="n">
        <x:v>21.01</x:v>
      </x:c>
      <x:c r="AF160" s="24" t="n">
        <x:v>21.01</x:v>
      </x:c>
    </x:row>
    <x:row r="161" ht="18" customHeight="1">
      <x:c r="A161" t="str">
        <x:v>A022</x:v>
      </x:c>
      <x:c r="B161" t="str">
        <x:v>Wind_Market</x:v>
      </x:c>
      <x:c r="C161" t="str">
        <x:v>Addition</x:v>
      </x:c>
      <x:c r="D161" s="26" t="n">
        <x:v>2027</x:v>
      </x:c>
      <x:c r="E161" t="str">
        <x:v>Committed</x:v>
      </x:c>
      <x:c r="F161" t="str">
        <x:v>Wind</x:v>
      </x:c>
      <x:c r="G161" t="str">
        <x:v>Wind</x:v>
      </x:c>
      <x:c r="H161" s="20" t="n">
        <x:v>49.2</x:v>
      </x:c>
      <x:c r="I161" s="20" t="n">
        <x:v>49.2</x:v>
      </x:c>
      <x:c r="J161" t="str">
        <x:v>Unspecified / distributed</x:v>
      </x:c>
      <x:c r="K161"/>
      <x:c r="L161" s="22"/>
      <x:c r="M161" s="22"/>
      <x:c r="N161" t="str">
        <x:v>Not located in IGCEP</x:v>
      </x:c>
      <x:c r="O161" t="str">
        <x:v>Jul-26</x:v>
      </x:c>
      <x:c r="P161" t="str">
        <x:v>Market</x:v>
      </x:c>
      <x:c r="Q161"/>
      <x:c r="R161" t="str">
        <x:v>Wind_Market</x:v>
      </x:c>
      <x:c r="S161" t="n">
        <x:v>122</x:v>
      </x:c>
      <x:c r="T161" t="str">
        <x:v>Table 6-8</x:v>
      </x:c>
      <x:c r="U161" t="n">
        <x:v>118</x:v>
      </x:c>
      <x:c r="V161" t="n">
        <x:v>69</x:v>
      </x:c>
      <x:c r="W161" t="str">
        <x:v>Aggregated/distributed or generic procurement capacity; no plant-level site in Table 6-8.</x:v>
      </x:c>
      <x:c r="X161" s="24" t="n">
        <x:v>41.98</x:v>
      </x:c>
      <x:c r="Y161" s="24" t="n">
        <x:v>41.92</x:v>
      </x:c>
      <x:c r="Z161" s="24" t="n">
        <x:v>41.98</x:v>
      </x:c>
      <x:c r="AA161" s="24" t="n">
        <x:v>41.98</x:v>
      </x:c>
      <x:c r="AB161" s="24" t="n">
        <x:v>41.98</x:v>
      </x:c>
      <x:c r="AC161" s="24" t="n">
        <x:v>41.92</x:v>
      </x:c>
      <x:c r="AD161" s="24" t="n">
        <x:v>41.98</x:v>
      </x:c>
      <x:c r="AE161" s="24" t="n">
        <x:v>41.98</x:v>
      </x:c>
      <x:c r="AF161" s="24" t="n">
        <x:v>41.98</x:v>
      </x:c>
    </x:row>
    <x:row r="162" ht="18" customHeight="1">
      <x:c r="A162" t="str">
        <x:v>A023</x:v>
      </x:c>
      <x:c r="B162" t="str">
        <x:v>KE_New_Wind</x:v>
      </x:c>
      <x:c r="C162" t="str">
        <x:v>Addition</x:v>
      </x:c>
      <x:c r="D162" s="26" t="n">
        <x:v>2027</x:v>
      </x:c>
      <x:c r="E162" t="str">
        <x:v>Optimised</x:v>
      </x:c>
      <x:c r="F162" t="str">
        <x:v>Wind</x:v>
      </x:c>
      <x:c r="G162" t="str">
        <x:v>Wind</x:v>
      </x:c>
      <x:c r="H162" s="20" t="n">
        <x:v>400</x:v>
      </x:c>
      <x:c r="I162" s="20" t="n">
        <x:v>400</x:v>
      </x:c>
      <x:c r="J162" t="str">
        <x:v>Unspecified / distributed</x:v>
      </x:c>
      <x:c r="K162"/>
      <x:c r="L162" s="22"/>
      <x:c r="M162" s="22"/>
      <x:c r="N162" t="str">
        <x:v>Not located in IGCEP</x:v>
      </x:c>
      <x:c r="O162" t="str">
        <x:v>Jul-26</x:v>
      </x:c>
      <x:c r="P162" t="str">
        <x:v>KE</x:v>
      </x:c>
      <x:c r="Q162"/>
      <x:c r="R162" t="str">
        <x:v>KE_New_Wind</x:v>
      </x:c>
      <x:c r="S162" t="n">
        <x:v>122</x:v>
      </x:c>
      <x:c r="T162" t="str">
        <x:v>Table 6-8</x:v>
      </x:c>
      <x:c r="U162" t="n">
        <x:v>118</x:v>
      </x:c>
      <x:c r="V162" t="n">
        <x:v>69</x:v>
      </x:c>
      <x:c r="W162" t="str">
        <x:v>K-Electric zone is identifiable; specific wind site is not in the schedule.</x:v>
      </x:c>
      <x:c r="X162" s="24" t="n">
        <x:v>41.98</x:v>
      </x:c>
      <x:c r="Y162" s="24" t="n">
        <x:v>41.92</x:v>
      </x:c>
      <x:c r="Z162" s="24" t="n">
        <x:v>41.98</x:v>
      </x:c>
      <x:c r="AA162" s="24" t="n">
        <x:v>41.98</x:v>
      </x:c>
      <x:c r="AB162" s="24" t="n">
        <x:v>41.98</x:v>
      </x:c>
      <x:c r="AC162" s="24" t="n">
        <x:v>41.92</x:v>
      </x:c>
      <x:c r="AD162" s="24" t="n">
        <x:v>41.98</x:v>
      </x:c>
      <x:c r="AE162" s="24" t="n">
        <x:v>41.98</x:v>
      </x:c>
      <x:c r="AF162" s="24" t="n">
        <x:v>41.98</x:v>
      </x:c>
    </x:row>
    <x:row r="163" ht="18" customHeight="1">
      <x:c r="A163" t="str">
        <x:v>A024</x:v>
      </x:c>
      <x:c r="B163" t="str">
        <x:v>Dasu (U#2)</x:v>
      </x:c>
      <x:c r="C163" t="str">
        <x:v>Addition</x:v>
      </x:c>
      <x:c r="D163" s="26" t="n">
        <x:v>2028</x:v>
      </x:c>
      <x:c r="E163" t="str">
        <x:v>Committed</x:v>
      </x:c>
      <x:c r="F163" t="str">
        <x:v>Hydro</x:v>
      </x:c>
      <x:c r="G163" t="str">
        <x:v>Hydro</x:v>
      </x:c>
      <x:c r="H163" s="20" t="n">
        <x:v>360</x:v>
      </x:c>
      <x:c r="I163" s="20" t="n">
        <x:v>360</x:v>
      </x:c>
      <x:c r="J163" t="str">
        <x:v>Khyber Pakhtunkhwa</x:v>
      </x:c>
      <x:c r="K163" t="str">
        <x:v>Dasu–Upper Kohistan</x:v>
      </x:c>
      <x:c r="L163" s="22" t="n">
        <x:v>35.3</x:v>
      </x:c>
      <x:c r="M163" s="22" t="n">
        <x:v>73.2</x:v>
      </x:c>
      <x:c r="N163" t="str">
        <x:v>Site vicinity</x:v>
      </x:c>
      <x:c r="O163" t="str">
        <x:v>Jul-27</x:v>
      </x:c>
      <x:c r="P163" t="str">
        <x:v>WAPDA</x:v>
      </x:c>
      <x:c r="Q163"/>
      <x:c r="R163" t="str">
        <x:v>Dasu</x:v>
      </x:c>
      <x:c r="S163" t="n">
        <x:v>125</x:v>
      </x:c>
      <x:c r="T163" t="str">
        <x:v>Table 6-8</x:v>
      </x:c>
      <x:c r="U163" t="n">
        <x:v>118</x:v>
      </x:c>
      <x:c r="V163" t="n">
        <x:v>69</x:v>
      </x:c>
      <x:c r="W163" t="str">
        <x:v>Plant coordinates are not provided in the IGCEP; plotted coordinates are indicative.</x:v>
      </x:c>
      <x:c r="X163" s="24" t="n">
        <x:v>99</x:v>
      </x:c>
      <x:c r="Y163" s="24" t="n">
        <x:v>69.82</x:v>
      </x:c>
      <x:c r="Z163" s="24" t="n">
        <x:v>64.52</x:v>
      </x:c>
      <x:c r="AA163" s="24" t="n">
        <x:v>64.52</x:v>
      </x:c>
      <x:c r="AB163" s="24" t="n">
        <x:v>64.52</x:v>
      </x:c>
      <x:c r="AC163" s="24" t="n">
        <x:v>64.27</x:v>
      </x:c>
      <x:c r="AD163" s="24" t="n">
        <x:v>64.26</x:v>
      </x:c>
      <x:c r="AE163" s="24" t="n">
        <x:v>64.02</x:v>
      </x:c>
      <x:c r="AF163" s="24" t="n">
        <x:v>64</x:v>
      </x:c>
    </x:row>
    <x:row r="164" ht="18" customHeight="1">
      <x:c r="A164" t="str">
        <x:v>A025</x:v>
      </x:c>
      <x:c r="B164" t="str">
        <x:v>CASA</x:v>
      </x:c>
      <x:c r="C164" t="str">
        <x:v>Addition</x:v>
      </x:c>
      <x:c r="D164" s="26" t="n">
        <x:v>2028</x:v>
      </x:c>
      <x:c r="E164" t="str">
        <x:v>Committed</x:v>
      </x:c>
      <x:c r="F164" t="str">
        <x:v>Hydro</x:v>
      </x:c>
      <x:c r="G164" t="str">
        <x:v>Hydro</x:v>
      </x:c>
      <x:c r="H164" s="20" t="n">
        <x:v>1000</x:v>
      </x:c>
      <x:c r="I164" s="20" t="n">
        <x:v>1000</x:v>
      </x:c>
      <x:c r="J164" t="str">
        <x:v>Unspecified / distributed</x:v>
      </x:c>
      <x:c r="K164"/>
      <x:c r="L164" s="22"/>
      <x:c r="M164" s="22"/>
      <x:c r="N164" t="str">
        <x:v>Not located in IGCEP</x:v>
      </x:c>
      <x:c r="O164" t="str">
        <x:v>Aug-27</x:v>
      </x:c>
      <x:c r="P164" t="str">
        <x:v>NGC</x:v>
      </x:c>
      <x:c r="Q164"/>
      <x:c r="R164" t="str">
        <x:v>CASA</x:v>
      </x:c>
      <x:c r="S164" t="n">
        <x:v>122</x:v>
      </x:c>
      <x:c r="T164" t="str">
        <x:v>Table 6-8</x:v>
      </x:c>
      <x:c r="U164" t="n">
        <x:v>119</x:v>
      </x:c>
      <x:c r="V164" t="n">
        <x:v>70</x:v>
      </x:c>
      <x:c r="W164" t="str">
        <x:v>Cross-border hydro import capacity, not an identified domestic generating plant.</x:v>
      </x:c>
      <x:c r="X164" s="24" t="n">
        <x:v>0</x:v>
      </x:c>
      <x:c r="Y164" s="24" t="n">
        <x:v>36.38</x:v>
      </x:c>
      <x:c r="Z164" s="24" t="n">
        <x:v>41.88</x:v>
      </x:c>
      <x:c r="AA164" s="24" t="n">
        <x:v>41.88</x:v>
      </x:c>
      <x:c r="AB164" s="24" t="n">
        <x:v>41.88</x:v>
      </x:c>
      <x:c r="AC164" s="24" t="n">
        <x:v>41.8</x:v>
      </x:c>
      <x:c r="AD164" s="24" t="n">
        <x:v>41.88</x:v>
      </x:c>
      <x:c r="AE164" s="24" t="n">
        <x:v>41.88</x:v>
      </x:c>
      <x:c r="AF164" s="24" t="n">
        <x:v>41.88</x:v>
      </x:c>
    </x:row>
    <x:row r="165" ht="18" customHeight="1">
      <x:c r="A165" t="str">
        <x:v>A026</x:v>
      </x:c>
      <x:c r="B165" t="str">
        <x:v>Dasu (U#3)</x:v>
      </x:c>
      <x:c r="C165" t="str">
        <x:v>Addition</x:v>
      </x:c>
      <x:c r="D165" s="26" t="n">
        <x:v>2028</x:v>
      </x:c>
      <x:c r="E165" t="str">
        <x:v>Committed</x:v>
      </x:c>
      <x:c r="F165" t="str">
        <x:v>Hydro</x:v>
      </x:c>
      <x:c r="G165" t="str">
        <x:v>Hydro</x:v>
      </x:c>
      <x:c r="H165" s="20" t="n">
        <x:v>360</x:v>
      </x:c>
      <x:c r="I165" s="20" t="n">
        <x:v>360</x:v>
      </x:c>
      <x:c r="J165" t="str">
        <x:v>Khyber Pakhtunkhwa</x:v>
      </x:c>
      <x:c r="K165" t="str">
        <x:v>Dasu–Upper Kohistan</x:v>
      </x:c>
      <x:c r="L165" s="22" t="n">
        <x:v>35.3</x:v>
      </x:c>
      <x:c r="M165" s="22" t="n">
        <x:v>73.2</x:v>
      </x:c>
      <x:c r="N165" t="str">
        <x:v>Site vicinity</x:v>
      </x:c>
      <x:c r="O165" t="str">
        <x:v>Aug-27</x:v>
      </x:c>
      <x:c r="P165" t="str">
        <x:v>WAPDA</x:v>
      </x:c>
      <x:c r="Q165"/>
      <x:c r="R165" t="str">
        <x:v>Dasu</x:v>
      </x:c>
      <x:c r="S165" t="n">
        <x:v>125</x:v>
      </x:c>
      <x:c r="T165" t="str">
        <x:v>Table 6-8</x:v>
      </x:c>
      <x:c r="U165" t="n">
        <x:v>119</x:v>
      </x:c>
      <x:c r="V165" t="n">
        <x:v>70</x:v>
      </x:c>
      <x:c r="W165" t="str">
        <x:v>Plant coordinates are not provided in the IGCEP; plotted coordinates are indicative.</x:v>
      </x:c>
      <x:c r="X165" s="24" t="n">
        <x:v>99</x:v>
      </x:c>
      <x:c r="Y165" s="24" t="n">
        <x:v>69.82</x:v>
      </x:c>
      <x:c r="Z165" s="24" t="n">
        <x:v>64.52</x:v>
      </x:c>
      <x:c r="AA165" s="24" t="n">
        <x:v>64.52</x:v>
      </x:c>
      <x:c r="AB165" s="24" t="n">
        <x:v>64.52</x:v>
      </x:c>
      <x:c r="AC165" s="24" t="n">
        <x:v>64.27</x:v>
      </x:c>
      <x:c r="AD165" s="24" t="n">
        <x:v>64.26</x:v>
      </x:c>
      <x:c r="AE165" s="24" t="n">
        <x:v>64.02</x:v>
      </x:c>
      <x:c r="AF165" s="24" t="n">
        <x:v>64</x:v>
      </x:c>
    </x:row>
    <x:row r="166" ht="18" customHeight="1">
      <x:c r="A166" t="str">
        <x:v>A027</x:v>
      </x:c>
      <x:c r="B166" t="str">
        <x:v>Dasu (U#4)</x:v>
      </x:c>
      <x:c r="C166" t="str">
        <x:v>Addition</x:v>
      </x:c>
      <x:c r="D166" s="26" t="n">
        <x:v>2028</x:v>
      </x:c>
      <x:c r="E166" t="str">
        <x:v>Committed</x:v>
      </x:c>
      <x:c r="F166" t="str">
        <x:v>Hydro</x:v>
      </x:c>
      <x:c r="G166" t="str">
        <x:v>Hydro</x:v>
      </x:c>
      <x:c r="H166" s="20" t="n">
        <x:v>360</x:v>
      </x:c>
      <x:c r="I166" s="20" t="n">
        <x:v>360</x:v>
      </x:c>
      <x:c r="J166" t="str">
        <x:v>Khyber Pakhtunkhwa</x:v>
      </x:c>
      <x:c r="K166" t="str">
        <x:v>Dasu–Upper Kohistan</x:v>
      </x:c>
      <x:c r="L166" s="22" t="n">
        <x:v>35.3</x:v>
      </x:c>
      <x:c r="M166" s="22" t="n">
        <x:v>73.2</x:v>
      </x:c>
      <x:c r="N166" t="str">
        <x:v>Site vicinity</x:v>
      </x:c>
      <x:c r="O166" t="str">
        <x:v>Nov-27</x:v>
      </x:c>
      <x:c r="P166" t="str">
        <x:v>WAPDA</x:v>
      </x:c>
      <x:c r="Q166"/>
      <x:c r="R166" t="str">
        <x:v>Dasu</x:v>
      </x:c>
      <x:c r="S166" t="n">
        <x:v>125</x:v>
      </x:c>
      <x:c r="T166" t="str">
        <x:v>Table 6-8</x:v>
      </x:c>
      <x:c r="U166" t="n">
        <x:v>119</x:v>
      </x:c>
      <x:c r="V166" t="n">
        <x:v>70</x:v>
      </x:c>
      <x:c r="W166" t="str">
        <x:v>Plant coordinates are not provided in the IGCEP; plotted coordinates are indicative.</x:v>
      </x:c>
      <x:c r="X166" s="24" t="n">
        <x:v>99</x:v>
      </x:c>
      <x:c r="Y166" s="24" t="n">
        <x:v>69.82</x:v>
      </x:c>
      <x:c r="Z166" s="24" t="n">
        <x:v>64.52</x:v>
      </x:c>
      <x:c r="AA166" s="24" t="n">
        <x:v>64.52</x:v>
      </x:c>
      <x:c r="AB166" s="24" t="n">
        <x:v>64.52</x:v>
      </x:c>
      <x:c r="AC166" s="24" t="n">
        <x:v>64.27</x:v>
      </x:c>
      <x:c r="AD166" s="24" t="n">
        <x:v>64.26</x:v>
      </x:c>
      <x:c r="AE166" s="24" t="n">
        <x:v>64.02</x:v>
      </x:c>
      <x:c r="AF166" s="24" t="n">
        <x:v>64</x:v>
      </x:c>
    </x:row>
    <x:row r="167" ht="18" customHeight="1">
      <x:c r="A167" t="str">
        <x:v>A028</x:v>
      </x:c>
      <x:c r="B167" t="str">
        <x:v>Mohmand Dam (U#1)</x:v>
      </x:c>
      <x:c r="C167" t="str">
        <x:v>Addition</x:v>
      </x:c>
      <x:c r="D167" s="26" t="n">
        <x:v>2028</x:v>
      </x:c>
      <x:c r="E167" t="str">
        <x:v>Committed</x:v>
      </x:c>
      <x:c r="F167" t="str">
        <x:v>Hydro</x:v>
      </x:c>
      <x:c r="G167" t="str">
        <x:v>Hydro</x:v>
      </x:c>
      <x:c r="H167" s="20" t="n">
        <x:v>200</x:v>
      </x:c>
      <x:c r="I167" s="20" t="n">
        <x:v>200</x:v>
      </x:c>
      <x:c r="J167" t="str">
        <x:v>Khyber Pakhtunkhwa</x:v>
      </x:c>
      <x:c r="K167" t="str">
        <x:v>Mohmand Dam</x:v>
      </x:c>
      <x:c r="L167" s="22" t="n">
        <x:v>34.62</x:v>
      </x:c>
      <x:c r="M167" s="22" t="n">
        <x:v>71.48</x:v>
      </x:c>
      <x:c r="N167" t="str">
        <x:v>Site vicinity</x:v>
      </x:c>
      <x:c r="O167" t="str">
        <x:v>Nov-27</x:v>
      </x:c>
      <x:c r="P167" t="str">
        <x:v>WAPDA</x:v>
      </x:c>
      <x:c r="Q167"/>
      <x:c r="R167" t="str">
        <x:v>Mohmand Dam</x:v>
      </x:c>
      <x:c r="S167" t="n">
        <x:v>126</x:v>
      </x:c>
      <x:c r="T167" t="str">
        <x:v>Table 6-8</x:v>
      </x:c>
      <x:c r="U167" t="n">
        <x:v>119</x:v>
      </x:c>
      <x:c r="V167" t="n">
        <x:v>70</x:v>
      </x:c>
      <x:c r="W167" t="str">
        <x:v>Plant coordinates are not provided in the IGCEP; plotted coordinates are indicative.</x:v>
      </x:c>
      <x:c r="X167" s="24" t="n">
        <x:v>0</x:v>
      </x:c>
      <x:c r="Y167" s="24" t="n">
        <x:v>56.74</x:v>
      </x:c>
      <x:c r="Z167" s="24" t="n">
        <x:v>42.8</x:v>
      </x:c>
      <x:c r="AA167" s="24" t="n">
        <x:v>42.68</x:v>
      </x:c>
      <x:c r="AB167" s="24" t="n">
        <x:v>42.36</x:v>
      </x:c>
      <x:c r="AC167" s="24" t="n">
        <x:v>41.81</x:v>
      </x:c>
      <x:c r="AD167" s="24" t="n">
        <x:v>40.73</x:v>
      </x:c>
      <x:c r="AE167" s="24" t="n">
        <x:v>40.74</x:v>
      </x:c>
      <x:c r="AF167" s="24" t="n">
        <x:v>41.07</x:v>
      </x:c>
    </x:row>
    <x:row r="168" ht="18" customHeight="1">
      <x:c r="A168" t="str">
        <x:v>A029</x:v>
      </x:c>
      <x:c r="B168" t="str">
        <x:v>Balakot</x:v>
      </x:c>
      <x:c r="C168" t="str">
        <x:v>Addition</x:v>
      </x:c>
      <x:c r="D168" s="26" t="n">
        <x:v>2028</x:v>
      </x:c>
      <x:c r="E168" t="str">
        <x:v>Committed</x:v>
      </x:c>
      <x:c r="F168" t="str">
        <x:v>Hydro</x:v>
      </x:c>
      <x:c r="G168" t="str">
        <x:v>Hydro</x:v>
      </x:c>
      <x:c r="H168" s="20" t="n">
        <x:v>300</x:v>
      </x:c>
      <x:c r="I168" s="20" t="n">
        <x:v>300</x:v>
      </x:c>
      <x:c r="J168" t="str">
        <x:v>Khyber Pakhtunkhwa</x:v>
      </x:c>
      <x:c r="K168" t="str">
        <x:v>Balakot</x:v>
      </x:c>
      <x:c r="L168" s="22" t="n">
        <x:v>34.55</x:v>
      </x:c>
      <x:c r="M168" s="22" t="n">
        <x:v>73.35</x:v>
      </x:c>
      <x:c r="N168" t="str">
        <x:v>Site vicinity</x:v>
      </x:c>
      <x:c r="O168" t="str">
        <x:v>Dec-27</x:v>
      </x:c>
      <x:c r="P168" t="str">
        <x:v>GoKPK</x:v>
      </x:c>
      <x:c r="Q168"/>
      <x:c r="R168" t="str">
        <x:v>Balakot</x:v>
      </x:c>
      <x:c r="S168" t="n">
        <x:v>125</x:v>
      </x:c>
      <x:c r="T168" t="str">
        <x:v>Table 6-8</x:v>
      </x:c>
      <x:c r="U168" t="n">
        <x:v>119</x:v>
      </x:c>
      <x:c r="V168" t="n">
        <x:v>70</x:v>
      </x:c>
      <x:c r="W168" t="str">
        <x:v>Plant coordinates are not provided in the IGCEP; plotted coordinates are indicative.</x:v>
      </x:c>
      <x:c r="X168" s="24" t="n">
        <x:v>0</x:v>
      </x:c>
      <x:c r="Y168" s="24" t="n">
        <x:v>36.84</x:v>
      </x:c>
      <x:c r="Z168" s="24" t="n">
        <x:v>41.96</x:v>
      </x:c>
      <x:c r="AA168" s="24" t="n">
        <x:v>41.96</x:v>
      </x:c>
      <x:c r="AB168" s="24" t="n">
        <x:v>41.96</x:v>
      </x:c>
      <x:c r="AC168" s="24" t="n">
        <x:v>41.85</x:v>
      </x:c>
      <x:c r="AD168" s="24" t="n">
        <x:v>41.96</x:v>
      </x:c>
      <x:c r="AE168" s="24" t="n">
        <x:v>41.96</x:v>
      </x:c>
      <x:c r="AF168" s="24" t="n">
        <x:v>41.96</x:v>
      </x:c>
    </x:row>
    <x:row r="169" ht="18" customHeight="1">
      <x:c r="A169" t="str">
        <x:v>A030</x:v>
      </x:c>
      <x:c r="B169" t="str">
        <x:v>Mohmand Dam (U#2)</x:v>
      </x:c>
      <x:c r="C169" t="str">
        <x:v>Addition</x:v>
      </x:c>
      <x:c r="D169" s="26" t="n">
        <x:v>2028</x:v>
      </x:c>
      <x:c r="E169" t="str">
        <x:v>Committed</x:v>
      </x:c>
      <x:c r="F169" t="str">
        <x:v>Hydro</x:v>
      </x:c>
      <x:c r="G169" t="str">
        <x:v>Hydro</x:v>
      </x:c>
      <x:c r="H169" s="20" t="n">
        <x:v>200</x:v>
      </x:c>
      <x:c r="I169" s="20" t="n">
        <x:v>200</x:v>
      </x:c>
      <x:c r="J169" t="str">
        <x:v>Khyber Pakhtunkhwa</x:v>
      </x:c>
      <x:c r="K169" t="str">
        <x:v>Mohmand Dam</x:v>
      </x:c>
      <x:c r="L169" s="22" t="n">
        <x:v>34.62</x:v>
      </x:c>
      <x:c r="M169" s="22" t="n">
        <x:v>71.48</x:v>
      </x:c>
      <x:c r="N169" t="str">
        <x:v>Site vicinity</x:v>
      </x:c>
      <x:c r="O169" t="str">
        <x:v>Dec-27</x:v>
      </x:c>
      <x:c r="P169" t="str">
        <x:v>WAPDA</x:v>
      </x:c>
      <x:c r="Q169"/>
      <x:c r="R169" t="str">
        <x:v>Mohmand Dam</x:v>
      </x:c>
      <x:c r="S169" t="n">
        <x:v>126</x:v>
      </x:c>
      <x:c r="T169" t="str">
        <x:v>Table 6-8</x:v>
      </x:c>
      <x:c r="U169" t="n">
        <x:v>119</x:v>
      </x:c>
      <x:c r="V169" t="n">
        <x:v>70</x:v>
      </x:c>
      <x:c r="W169" t="str">
        <x:v>Plant coordinates are not provided in the IGCEP; plotted coordinates are indicative.</x:v>
      </x:c>
      <x:c r="X169" s="24" t="n">
        <x:v>0</x:v>
      </x:c>
      <x:c r="Y169" s="24" t="n">
        <x:v>56.74</x:v>
      </x:c>
      <x:c r="Z169" s="24" t="n">
        <x:v>42.8</x:v>
      </x:c>
      <x:c r="AA169" s="24" t="n">
        <x:v>42.68</x:v>
      </x:c>
      <x:c r="AB169" s="24" t="n">
        <x:v>42.36</x:v>
      </x:c>
      <x:c r="AC169" s="24" t="n">
        <x:v>41.81</x:v>
      </x:c>
      <x:c r="AD169" s="24" t="n">
        <x:v>40.73</x:v>
      </x:c>
      <x:c r="AE169" s="24" t="n">
        <x:v>40.74</x:v>
      </x:c>
      <x:c r="AF169" s="24" t="n">
        <x:v>41.07</x:v>
      </x:c>
    </x:row>
    <x:row r="170" ht="18" customHeight="1">
      <x:c r="A170" t="str">
        <x:v>A031</x:v>
      </x:c>
      <x:c r="B170" t="str">
        <x:v>Mohmand Dam (U#3)</x:v>
      </x:c>
      <x:c r="C170" t="str">
        <x:v>Addition</x:v>
      </x:c>
      <x:c r="D170" s="26" t="n">
        <x:v>2028</x:v>
      </x:c>
      <x:c r="E170" t="str">
        <x:v>Committed</x:v>
      </x:c>
      <x:c r="F170" t="str">
        <x:v>Hydro</x:v>
      </x:c>
      <x:c r="G170" t="str">
        <x:v>Hydro</x:v>
      </x:c>
      <x:c r="H170" s="20" t="n">
        <x:v>200</x:v>
      </x:c>
      <x:c r="I170" s="20" t="n">
        <x:v>200</x:v>
      </x:c>
      <x:c r="J170" t="str">
        <x:v>Khyber Pakhtunkhwa</x:v>
      </x:c>
      <x:c r="K170" t="str">
        <x:v>Mohmand Dam</x:v>
      </x:c>
      <x:c r="L170" s="22" t="n">
        <x:v>34.62</x:v>
      </x:c>
      <x:c r="M170" s="22" t="n">
        <x:v>71.48</x:v>
      </x:c>
      <x:c r="N170" t="str">
        <x:v>Site vicinity</x:v>
      </x:c>
      <x:c r="O170" t="str">
        <x:v>Jan-28</x:v>
      </x:c>
      <x:c r="P170" t="str">
        <x:v>WAPDA</x:v>
      </x:c>
      <x:c r="Q170"/>
      <x:c r="R170" t="str">
        <x:v>Mohmand Dam</x:v>
      </x:c>
      <x:c r="S170" t="n">
        <x:v>126</x:v>
      </x:c>
      <x:c r="T170" t="str">
        <x:v>Table 6-8</x:v>
      </x:c>
      <x:c r="U170" t="n">
        <x:v>119</x:v>
      </x:c>
      <x:c r="V170" t="n">
        <x:v>70</x:v>
      </x:c>
      <x:c r="W170" t="str">
        <x:v>Plant coordinates are not provided in the IGCEP; plotted coordinates are indicative.</x:v>
      </x:c>
      <x:c r="X170" s="24" t="n">
        <x:v>0</x:v>
      </x:c>
      <x:c r="Y170" s="24" t="n">
        <x:v>56.74</x:v>
      </x:c>
      <x:c r="Z170" s="24" t="n">
        <x:v>42.8</x:v>
      </x:c>
      <x:c r="AA170" s="24" t="n">
        <x:v>42.68</x:v>
      </x:c>
      <x:c r="AB170" s="24" t="n">
        <x:v>42.36</x:v>
      </x:c>
      <x:c r="AC170" s="24" t="n">
        <x:v>41.81</x:v>
      </x:c>
      <x:c r="AD170" s="24" t="n">
        <x:v>40.73</x:v>
      </x:c>
      <x:c r="AE170" s="24" t="n">
        <x:v>40.74</x:v>
      </x:c>
      <x:c r="AF170" s="24" t="n">
        <x:v>41.07</x:v>
      </x:c>
    </x:row>
    <x:row r="171" ht="18" customHeight="1">
      <x:c r="A171" t="str">
        <x:v>A032</x:v>
      </x:c>
      <x:c r="B171" t="str">
        <x:v>Dasu (U#5)</x:v>
      </x:c>
      <x:c r="C171" t="str">
        <x:v>Addition</x:v>
      </x:c>
      <x:c r="D171" s="26" t="n">
        <x:v>2028</x:v>
      </x:c>
      <x:c r="E171" t="str">
        <x:v>Committed</x:v>
      </x:c>
      <x:c r="F171" t="str">
        <x:v>Hydro</x:v>
      </x:c>
      <x:c r="G171" t="str">
        <x:v>Hydro</x:v>
      </x:c>
      <x:c r="H171" s="20" t="n">
        <x:v>360</x:v>
      </x:c>
      <x:c r="I171" s="20" t="n">
        <x:v>360</x:v>
      </x:c>
      <x:c r="J171" t="str">
        <x:v>Khyber Pakhtunkhwa</x:v>
      </x:c>
      <x:c r="K171" t="str">
        <x:v>Dasu–Upper Kohistan</x:v>
      </x:c>
      <x:c r="L171" s="22" t="n">
        <x:v>35.3</x:v>
      </x:c>
      <x:c r="M171" s="22" t="n">
        <x:v>73.2</x:v>
      </x:c>
      <x:c r="N171" t="str">
        <x:v>Site vicinity</x:v>
      </x:c>
      <x:c r="O171" t="str">
        <x:v>Feb-28</x:v>
      </x:c>
      <x:c r="P171" t="str">
        <x:v>WAPDA</x:v>
      </x:c>
      <x:c r="Q171"/>
      <x:c r="R171" t="str">
        <x:v>Dasu</x:v>
      </x:c>
      <x:c r="S171" t="n">
        <x:v>125</x:v>
      </x:c>
      <x:c r="T171" t="str">
        <x:v>Table 6-8</x:v>
      </x:c>
      <x:c r="U171" t="n">
        <x:v>119</x:v>
      </x:c>
      <x:c r="V171" t="n">
        <x:v>70</x:v>
      </x:c>
      <x:c r="W171" t="str">
        <x:v>Plant coordinates are not provided in the IGCEP; plotted coordinates are indicative.</x:v>
      </x:c>
      <x:c r="X171" s="24" t="n">
        <x:v>99</x:v>
      </x:c>
      <x:c r="Y171" s="24" t="n">
        <x:v>69.82</x:v>
      </x:c>
      <x:c r="Z171" s="24" t="n">
        <x:v>64.52</x:v>
      </x:c>
      <x:c r="AA171" s="24" t="n">
        <x:v>64.52</x:v>
      </x:c>
      <x:c r="AB171" s="24" t="n">
        <x:v>64.52</x:v>
      </x:c>
      <x:c r="AC171" s="24" t="n">
        <x:v>64.27</x:v>
      </x:c>
      <x:c r="AD171" s="24" t="n">
        <x:v>64.26</x:v>
      </x:c>
      <x:c r="AE171" s="24" t="n">
        <x:v>64.02</x:v>
      </x:c>
      <x:c r="AF171" s="24" t="n">
        <x:v>64</x:v>
      </x:c>
    </x:row>
    <x:row r="172" ht="18" customHeight="1">
      <x:c r="A172" t="str">
        <x:v>A033</x:v>
      </x:c>
      <x:c r="B172" t="str">
        <x:v>Mohmand Dam (U#4)</x:v>
      </x:c>
      <x:c r="C172" t="str">
        <x:v>Addition</x:v>
      </x:c>
      <x:c r="D172" s="26" t="n">
        <x:v>2028</x:v>
      </x:c>
      <x:c r="E172" t="str">
        <x:v>Committed</x:v>
      </x:c>
      <x:c r="F172" t="str">
        <x:v>Hydro</x:v>
      </x:c>
      <x:c r="G172" t="str">
        <x:v>Hydro</x:v>
      </x:c>
      <x:c r="H172" s="20" t="n">
        <x:v>200</x:v>
      </x:c>
      <x:c r="I172" s="20" t="n">
        <x:v>200</x:v>
      </x:c>
      <x:c r="J172" t="str">
        <x:v>Khyber Pakhtunkhwa</x:v>
      </x:c>
      <x:c r="K172" t="str">
        <x:v>Mohmand Dam</x:v>
      </x:c>
      <x:c r="L172" s="22" t="n">
        <x:v>34.62</x:v>
      </x:c>
      <x:c r="M172" s="22" t="n">
        <x:v>71.48</x:v>
      </x:c>
      <x:c r="N172" t="str">
        <x:v>Site vicinity</x:v>
      </x:c>
      <x:c r="O172" t="str">
        <x:v>Mar-28</x:v>
      </x:c>
      <x:c r="P172" t="str">
        <x:v>WAPDA</x:v>
      </x:c>
      <x:c r="Q172"/>
      <x:c r="R172" t="str">
        <x:v>Mohmand Dam</x:v>
      </x:c>
      <x:c r="S172" t="n">
        <x:v>126</x:v>
      </x:c>
      <x:c r="T172" t="str">
        <x:v>Table 6-8</x:v>
      </x:c>
      <x:c r="U172" t="n">
        <x:v>119</x:v>
      </x:c>
      <x:c r="V172" t="n">
        <x:v>70</x:v>
      </x:c>
      <x:c r="W172" t="str">
        <x:v>Plant coordinates are not provided in the IGCEP; plotted coordinates are indicative.</x:v>
      </x:c>
      <x:c r="X172" s="24" t="n">
        <x:v>0</x:v>
      </x:c>
      <x:c r="Y172" s="24" t="n">
        <x:v>56.74</x:v>
      </x:c>
      <x:c r="Z172" s="24" t="n">
        <x:v>42.8</x:v>
      </x:c>
      <x:c r="AA172" s="24" t="n">
        <x:v>42.68</x:v>
      </x:c>
      <x:c r="AB172" s="24" t="n">
        <x:v>42.36</x:v>
      </x:c>
      <x:c r="AC172" s="24" t="n">
        <x:v>41.81</x:v>
      </x:c>
      <x:c r="AD172" s="24" t="n">
        <x:v>40.73</x:v>
      </x:c>
      <x:c r="AE172" s="24" t="n">
        <x:v>40.74</x:v>
      </x:c>
      <x:c r="AF172" s="24" t="n">
        <x:v>41.07</x:v>
      </x:c>
    </x:row>
    <x:row r="173" ht="18" customHeight="1">
      <x:c r="A173" t="str">
        <x:v>A034</x:v>
      </x:c>
      <x:c r="B173" t="str">
        <x:v>Dasu (U#6)</x:v>
      </x:c>
      <x:c r="C173" t="str">
        <x:v>Addition</x:v>
      </x:c>
      <x:c r="D173" s="26" t="n">
        <x:v>2028</x:v>
      </x:c>
      <x:c r="E173" t="str">
        <x:v>Committed</x:v>
      </x:c>
      <x:c r="F173" t="str">
        <x:v>Hydro</x:v>
      </x:c>
      <x:c r="G173" t="str">
        <x:v>Hydro</x:v>
      </x:c>
      <x:c r="H173" s="20" t="n">
        <x:v>360</x:v>
      </x:c>
      <x:c r="I173" s="20" t="n">
        <x:v>360</x:v>
      </x:c>
      <x:c r="J173" t="str">
        <x:v>Khyber Pakhtunkhwa</x:v>
      </x:c>
      <x:c r="K173" t="str">
        <x:v>Dasu–Upper Kohistan</x:v>
      </x:c>
      <x:c r="L173" s="22" t="n">
        <x:v>35.3</x:v>
      </x:c>
      <x:c r="M173" s="22" t="n">
        <x:v>73.2</x:v>
      </x:c>
      <x:c r="N173" t="str">
        <x:v>Site vicinity</x:v>
      </x:c>
      <x:c r="O173" t="str">
        <x:v>May-28</x:v>
      </x:c>
      <x:c r="P173" t="str">
        <x:v>WAPDA</x:v>
      </x:c>
      <x:c r="Q173"/>
      <x:c r="R173" t="str">
        <x:v>Dasu</x:v>
      </x:c>
      <x:c r="S173" t="n">
        <x:v>125</x:v>
      </x:c>
      <x:c r="T173" t="str">
        <x:v>Table 6-8</x:v>
      </x:c>
      <x:c r="U173" t="n">
        <x:v>119</x:v>
      </x:c>
      <x:c r="V173" t="n">
        <x:v>70</x:v>
      </x:c>
      <x:c r="W173" t="str">
        <x:v>Plant coordinates are not provided in the IGCEP; plotted coordinates are indicative.</x:v>
      </x:c>
      <x:c r="X173" s="24" t="n">
        <x:v>99</x:v>
      </x:c>
      <x:c r="Y173" s="24" t="n">
        <x:v>69.82</x:v>
      </x:c>
      <x:c r="Z173" s="24" t="n">
        <x:v>64.52</x:v>
      </x:c>
      <x:c r="AA173" s="24" t="n">
        <x:v>64.52</x:v>
      </x:c>
      <x:c r="AB173" s="24" t="n">
        <x:v>64.52</x:v>
      </x:c>
      <x:c r="AC173" s="24" t="n">
        <x:v>64.27</x:v>
      </x:c>
      <x:c r="AD173" s="24" t="n">
        <x:v>64.26</x:v>
      </x:c>
      <x:c r="AE173" s="24" t="n">
        <x:v>64.02</x:v>
      </x:c>
      <x:c r="AF173" s="24" t="n">
        <x:v>64</x:v>
      </x:c>
    </x:row>
    <x:row r="174" ht="18" customHeight="1">
      <x:c r="A174" t="str">
        <x:v>A035</x:v>
      </x:c>
      <x:c r="B174" t="str">
        <x:v>Net Meter</x:v>
      </x:c>
      <x:c r="C174" t="str">
        <x:v>Addition</x:v>
      </x:c>
      <x:c r="D174" s="26" t="n">
        <x:v>2028</x:v>
      </x:c>
      <x:c r="E174" t="str">
        <x:v>Committed</x:v>
      </x:c>
      <x:c r="F174" t="str">
        <x:v>Solar PV</x:v>
      </x:c>
      <x:c r="G174" t="str">
        <x:v>PV</x:v>
      </x:c>
      <x:c r="H174" s="20" t="n">
        <x:v>800</x:v>
      </x:c>
      <x:c r="I174" s="20" t="n">
        <x:v>800</x:v>
      </x:c>
      <x:c r="J174" t="str">
        <x:v>Unspecified / distributed</x:v>
      </x:c>
      <x:c r="K174"/>
      <x:c r="L174" s="22"/>
      <x:c r="M174" s="22"/>
      <x:c r="N174" t="str">
        <x:v>Not located in IGCEP</x:v>
      </x:c>
      <x:c r="O174" t="str">
        <x:v>Jul-27</x:v>
      </x:c>
      <x:c r="P174" t="str">
        <x:v>NGC</x:v>
      </x:c>
      <x:c r="Q174"/>
      <x:c r="R174"/>
      <x:c r="S174"/>
      <x:c r="T174" t="str">
        <x:v>Table 6-8</x:v>
      </x:c>
      <x:c r="U174" t="n">
        <x:v>119</x:v>
      </x:c>
      <x:c r="V174" t="n">
        <x:v>70</x:v>
      </x:c>
      <x:c r="W174" t="str">
        <x:v>Aggregated/distributed or generic procurement capacity; no plant-level site in Table 6-8.</x:v>
      </x:c>
      <x:c r="X174" s="24"/>
      <x:c r="Y174" s="24"/>
      <x:c r="Z174" s="24"/>
      <x:c r="AA174" s="24"/>
      <x:c r="AB174" s="24"/>
      <x:c r="AC174" s="24"/>
      <x:c r="AD174" s="24"/>
      <x:c r="AE174" s="24"/>
      <x:c r="AF174" s="24"/>
    </x:row>
    <x:row r="175" ht="18" customHeight="1">
      <x:c r="A175" t="str">
        <x:v>A036</x:v>
      </x:c>
      <x:c r="B175" t="str">
        <x:v>PV_Market</x:v>
      </x:c>
      <x:c r="C175" t="str">
        <x:v>Addition</x:v>
      </x:c>
      <x:c r="D175" s="26" t="n">
        <x:v>2028</x:v>
      </x:c>
      <x:c r="E175" t="str">
        <x:v>Committed</x:v>
      </x:c>
      <x:c r="F175" t="str">
        <x:v>Solar PV</x:v>
      </x:c>
      <x:c r="G175" t="str">
        <x:v>PV</x:v>
      </x:c>
      <x:c r="H175" s="20" t="n">
        <x:v>593.1</x:v>
      </x:c>
      <x:c r="I175" s="20" t="n">
        <x:v>593.1</x:v>
      </x:c>
      <x:c r="J175" t="str">
        <x:v>Unspecified / distributed</x:v>
      </x:c>
      <x:c r="K175"/>
      <x:c r="L175" s="22"/>
      <x:c r="M175" s="22"/>
      <x:c r="N175" t="str">
        <x:v>Not located in IGCEP</x:v>
      </x:c>
      <x:c r="O175" t="str">
        <x:v>Jul-27</x:v>
      </x:c>
      <x:c r="P175" t="str">
        <x:v>Market</x:v>
      </x:c>
      <x:c r="Q175"/>
      <x:c r="R175" t="str">
        <x:v>PV_Market</x:v>
      </x:c>
      <x:c r="S175" t="n">
        <x:v>121</x:v>
      </x:c>
      <x:c r="T175" t="str">
        <x:v>Table 6-8</x:v>
      </x:c>
      <x:c r="U175" t="n">
        <x:v>119</x:v>
      </x:c>
      <x:c r="V175" t="n">
        <x:v>70</x:v>
      </x:c>
      <x:c r="W175" t="str">
        <x:v>Aggregated/distributed or generic procurement capacity; no plant-level site in Table 6-8.</x:v>
      </x:c>
      <x:c r="X175" s="24" t="n">
        <x:v>21.01</x:v>
      </x:c>
      <x:c r="Y175" s="24" t="n">
        <x:v>20.98</x:v>
      </x:c>
      <x:c r="Z175" s="24" t="n">
        <x:v>21.01</x:v>
      </x:c>
      <x:c r="AA175" s="24" t="n">
        <x:v>21.01</x:v>
      </x:c>
      <x:c r="AB175" s="24" t="n">
        <x:v>21.01</x:v>
      </x:c>
      <x:c r="AC175" s="24" t="n">
        <x:v>20.98</x:v>
      </x:c>
      <x:c r="AD175" s="24" t="n">
        <x:v>21.01</x:v>
      </x:c>
      <x:c r="AE175" s="24" t="n">
        <x:v>21.01</x:v>
      </x:c>
      <x:c r="AF175" s="24" t="n">
        <x:v>21.01</x:v>
      </x:c>
    </x:row>
    <x:row r="176" ht="18" customHeight="1">
      <x:c r="A176" t="str">
        <x:v>A037</x:v>
      </x:c>
      <x:c r="B176" t="str">
        <x:v>Wind_Market</x:v>
      </x:c>
      <x:c r="C176" t="str">
        <x:v>Addition</x:v>
      </x:c>
      <x:c r="D176" s="26" t="n">
        <x:v>2028</x:v>
      </x:c>
      <x:c r="E176" t="str">
        <x:v>Committed</x:v>
      </x:c>
      <x:c r="F176" t="str">
        <x:v>Wind</x:v>
      </x:c>
      <x:c r="G176" t="str">
        <x:v>Wind</x:v>
      </x:c>
      <x:c r="H176" s="20" t="n">
        <x:v>96.6</x:v>
      </x:c>
      <x:c r="I176" s="20" t="n">
        <x:v>96.6</x:v>
      </x:c>
      <x:c r="J176" t="str">
        <x:v>Unspecified / distributed</x:v>
      </x:c>
      <x:c r="K176"/>
      <x:c r="L176" s="22"/>
      <x:c r="M176" s="22"/>
      <x:c r="N176" t="str">
        <x:v>Not located in IGCEP</x:v>
      </x:c>
      <x:c r="O176" t="str">
        <x:v>Jul-27</x:v>
      </x:c>
      <x:c r="P176" t="str">
        <x:v>Market</x:v>
      </x:c>
      <x:c r="Q176"/>
      <x:c r="R176" t="str">
        <x:v>Wind_Market</x:v>
      </x:c>
      <x:c r="S176" t="n">
        <x:v>122</x:v>
      </x:c>
      <x:c r="T176" t="str">
        <x:v>Table 6-8</x:v>
      </x:c>
      <x:c r="U176" t="n">
        <x:v>119</x:v>
      </x:c>
      <x:c r="V176" t="n">
        <x:v>70</x:v>
      </x:c>
      <x:c r="W176" t="str">
        <x:v>Aggregated/distributed or generic procurement capacity; no plant-level site in Table 6-8.</x:v>
      </x:c>
      <x:c r="X176" s="24" t="n">
        <x:v>41.98</x:v>
      </x:c>
      <x:c r="Y176" s="24" t="n">
        <x:v>41.92</x:v>
      </x:c>
      <x:c r="Z176" s="24" t="n">
        <x:v>41.98</x:v>
      </x:c>
      <x:c r="AA176" s="24" t="n">
        <x:v>41.98</x:v>
      </x:c>
      <x:c r="AB176" s="24" t="n">
        <x:v>41.98</x:v>
      </x:c>
      <x:c r="AC176" s="24" t="n">
        <x:v>41.92</x:v>
      </x:c>
      <x:c r="AD176" s="24" t="n">
        <x:v>41.98</x:v>
      </x:c>
      <x:c r="AE176" s="24" t="n">
        <x:v>41.98</x:v>
      </x:c>
      <x:c r="AF176" s="24" t="n">
        <x:v>41.98</x:v>
      </x:c>
    </x:row>
    <x:row r="177" ht="18" customHeight="1">
      <x:c r="A177" t="str">
        <x:v>A038</x:v>
      </x:c>
      <x:c r="B177" t="str">
        <x:v>KE_New_Wind</x:v>
      </x:c>
      <x:c r="C177" t="str">
        <x:v>Addition</x:v>
      </x:c>
      <x:c r="D177" s="26" t="n">
        <x:v>2028</x:v>
      </x:c>
      <x:c r="E177" t="str">
        <x:v>Optimised</x:v>
      </x:c>
      <x:c r="F177" t="str">
        <x:v>Wind</x:v>
      </x:c>
      <x:c r="G177" t="str">
        <x:v>Wind</x:v>
      </x:c>
      <x:c r="H177" s="20" t="n">
        <x:v>100</x:v>
      </x:c>
      <x:c r="I177" s="20" t="n">
        <x:v>100</x:v>
      </x:c>
      <x:c r="J177" t="str">
        <x:v>Unspecified / distributed</x:v>
      </x:c>
      <x:c r="K177"/>
      <x:c r="L177" s="22"/>
      <x:c r="M177" s="22"/>
      <x:c r="N177" t="str">
        <x:v>Not located in IGCEP</x:v>
      </x:c>
      <x:c r="O177" t="str">
        <x:v>Jul-27</x:v>
      </x:c>
      <x:c r="P177" t="str">
        <x:v>KE</x:v>
      </x:c>
      <x:c r="Q177"/>
      <x:c r="R177" t="str">
        <x:v>KE_New_Wind</x:v>
      </x:c>
      <x:c r="S177" t="n">
        <x:v>122</x:v>
      </x:c>
      <x:c r="T177" t="str">
        <x:v>Table 6-8</x:v>
      </x:c>
      <x:c r="U177" t="n">
        <x:v>119</x:v>
      </x:c>
      <x:c r="V177" t="n">
        <x:v>70</x:v>
      </x:c>
      <x:c r="W177" t="str">
        <x:v>K-Electric zone is identifiable; specific wind site is not in the schedule.</x:v>
      </x:c>
      <x:c r="X177" s="24" t="n">
        <x:v>41.98</x:v>
      </x:c>
      <x:c r="Y177" s="24" t="n">
        <x:v>41.92</x:v>
      </x:c>
      <x:c r="Z177" s="24" t="n">
        <x:v>41.98</x:v>
      </x:c>
      <x:c r="AA177" s="24" t="n">
        <x:v>41.98</x:v>
      </x:c>
      <x:c r="AB177" s="24" t="n">
        <x:v>41.98</x:v>
      </x:c>
      <x:c r="AC177" s="24" t="n">
        <x:v>41.92</x:v>
      </x:c>
      <x:c r="AD177" s="24" t="n">
        <x:v>41.98</x:v>
      </x:c>
      <x:c r="AE177" s="24" t="n">
        <x:v>41.98</x:v>
      </x:c>
      <x:c r="AF177" s="24" t="n">
        <x:v>41.98</x:v>
      </x:c>
    </x:row>
    <x:row r="178" ht="18" customHeight="1">
      <x:c r="A178" t="str">
        <x:v>A039</x:v>
      </x:c>
      <x:c r="B178" t="str">
        <x:v>Mangla Refurshbiment (U#7&amp;8)</x:v>
      </x:c>
      <x:c r="C178" t="str">
        <x:v>Addition</x:v>
      </x:c>
      <x:c r="D178" s="26" t="n">
        <x:v>2029</x:v>
      </x:c>
      <x:c r="E178" t="str">
        <x:v>Committed</x:v>
      </x:c>
      <x:c r="F178" t="str">
        <x:v>Hydro</x:v>
      </x:c>
      <x:c r="G178" t="str">
        <x:v>Hydro</x:v>
      </x:c>
      <x:c r="H178" s="20" t="n">
        <x:v>30</x:v>
      </x:c>
      <x:c r="I178" s="20" t="n">
        <x:v>30</x:v>
      </x:c>
      <x:c r="J178" t="str">
        <x:v>Azad Jammu &amp; Kashmir</x:v>
      </x:c>
      <x:c r="K178" t="str">
        <x:v>Mangla–Mirpur</x:v>
      </x:c>
      <x:c r="L178" s="22" t="n">
        <x:v>33.12</x:v>
      </x:c>
      <x:c r="M178" s="22" t="n">
        <x:v>73.65</x:v>
      </x:c>
      <x:c r="N178" t="str">
        <x:v>Site vicinity</x:v>
      </x:c>
      <x:c r="O178" t="str">
        <x:v>Aug-28</x:v>
      </x:c>
      <x:c r="P178" t="str">
        <x:v>WAPDA</x:v>
      </x:c>
      <x:c r="Q178"/>
      <x:c r="R178"/>
      <x:c r="S178"/>
      <x:c r="T178" t="str">
        <x:v>Table 6-8</x:v>
      </x:c>
      <x:c r="U178" t="n">
        <x:v>119</x:v>
      </x:c>
      <x:c r="V178" t="n">
        <x:v>70</x:v>
      </x:c>
      <x:c r="W178" t="str">
        <x:v>Plant coordinates are not provided in the IGCEP; plotted coordinates are indicative.</x:v>
      </x:c>
      <x:c r="X178" s="24"/>
      <x:c r="Y178" s="24"/>
      <x:c r="Z178" s="24"/>
      <x:c r="AA178" s="24"/>
      <x:c r="AB178" s="24"/>
      <x:c r="AC178" s="24"/>
      <x:c r="AD178" s="24"/>
      <x:c r="AE178" s="24"/>
      <x:c r="AF178" s="24"/>
    </x:row>
    <x:row r="179" ht="18" customHeight="1">
      <x:c r="A179" t="str">
        <x:v>A040</x:v>
      </x:c>
      <x:c r="B179" t="str">
        <x:v>Net Meter</x:v>
      </x:c>
      <x:c r="C179" t="str">
        <x:v>Addition</x:v>
      </x:c>
      <x:c r="D179" s="26" t="n">
        <x:v>2029</x:v>
      </x:c>
      <x:c r="E179" t="str">
        <x:v>Committed</x:v>
      </x:c>
      <x:c r="F179" t="str">
        <x:v>Solar PV</x:v>
      </x:c>
      <x:c r="G179" t="str">
        <x:v>PV</x:v>
      </x:c>
      <x:c r="H179" s="20" t="n">
        <x:v>700</x:v>
      </x:c>
      <x:c r="I179" s="20" t="n">
        <x:v>700</x:v>
      </x:c>
      <x:c r="J179" t="str">
        <x:v>Unspecified / distributed</x:v>
      </x:c>
      <x:c r="K179"/>
      <x:c r="L179" s="22"/>
      <x:c r="M179" s="22"/>
      <x:c r="N179" t="str">
        <x:v>Not located in IGCEP</x:v>
      </x:c>
      <x:c r="O179" t="str">
        <x:v>Jul-28</x:v>
      </x:c>
      <x:c r="P179" t="str">
        <x:v>NGC</x:v>
      </x:c>
      <x:c r="Q179"/>
      <x:c r="R179"/>
      <x:c r="S179"/>
      <x:c r="T179" t="str">
        <x:v>Table 6-8</x:v>
      </x:c>
      <x:c r="U179" t="n">
        <x:v>119</x:v>
      </x:c>
      <x:c r="V179" t="n">
        <x:v>70</x:v>
      </x:c>
      <x:c r="W179" t="str">
        <x:v>Aggregated/distributed or generic procurement capacity; no plant-level site in Table 6-8.</x:v>
      </x:c>
      <x:c r="X179" s="24"/>
      <x:c r="Y179" s="24"/>
      <x:c r="Z179" s="24"/>
      <x:c r="AA179" s="24"/>
      <x:c r="AB179" s="24"/>
      <x:c r="AC179" s="24"/>
      <x:c r="AD179" s="24"/>
      <x:c r="AE179" s="24"/>
      <x:c r="AF179" s="24"/>
    </x:row>
    <x:row r="180" ht="18" customHeight="1">
      <x:c r="A180" t="str">
        <x:v>A041</x:v>
      </x:c>
      <x:c r="B180" t="str">
        <x:v>PV_Market</x:v>
      </x:c>
      <x:c r="C180" t="str">
        <x:v>Addition</x:v>
      </x:c>
      <x:c r="D180" s="26" t="n">
        <x:v>2029</x:v>
      </x:c>
      <x:c r="E180" t="str">
        <x:v>Committed</x:v>
      </x:c>
      <x:c r="F180" t="str">
        <x:v>Solar PV</x:v>
      </x:c>
      <x:c r="G180" t="str">
        <x:v>PV</x:v>
      </x:c>
      <x:c r="H180" s="20" t="n">
        <x:v>593</x:v>
      </x:c>
      <x:c r="I180" s="20" t="n">
        <x:v>593</x:v>
      </x:c>
      <x:c r="J180" t="str">
        <x:v>Unspecified / distributed</x:v>
      </x:c>
      <x:c r="K180"/>
      <x:c r="L180" s="22"/>
      <x:c r="M180" s="22"/>
      <x:c r="N180" t="str">
        <x:v>Not located in IGCEP</x:v>
      </x:c>
      <x:c r="O180" t="str">
        <x:v>Jul-28</x:v>
      </x:c>
      <x:c r="P180" t="str">
        <x:v>Market</x:v>
      </x:c>
      <x:c r="Q180"/>
      <x:c r="R180" t="str">
        <x:v>PV_Market</x:v>
      </x:c>
      <x:c r="S180" t="n">
        <x:v>121</x:v>
      </x:c>
      <x:c r="T180" t="str">
        <x:v>Table 6-8</x:v>
      </x:c>
      <x:c r="U180" t="n">
        <x:v>119</x:v>
      </x:c>
      <x:c r="V180" t="n">
        <x:v>70</x:v>
      </x:c>
      <x:c r="W180" t="str">
        <x:v>Aggregated/distributed or generic procurement capacity; no plant-level site in Table 6-8.</x:v>
      </x:c>
      <x:c r="X180" s="24" t="n">
        <x:v>21.01</x:v>
      </x:c>
      <x:c r="Y180" s="24" t="n">
        <x:v>20.98</x:v>
      </x:c>
      <x:c r="Z180" s="24" t="n">
        <x:v>21.01</x:v>
      </x:c>
      <x:c r="AA180" s="24" t="n">
        <x:v>21.01</x:v>
      </x:c>
      <x:c r="AB180" s="24" t="n">
        <x:v>21.01</x:v>
      </x:c>
      <x:c r="AC180" s="24" t="n">
        <x:v>20.98</x:v>
      </x:c>
      <x:c r="AD180" s="24" t="n">
        <x:v>21.01</x:v>
      </x:c>
      <x:c r="AE180" s="24" t="n">
        <x:v>21.01</x:v>
      </x:c>
      <x:c r="AF180" s="24" t="n">
        <x:v>21.01</x:v>
      </x:c>
    </x:row>
    <x:row r="181" ht="18" customHeight="1">
      <x:c r="A181" t="str">
        <x:v>A042</x:v>
      </x:c>
      <x:c r="B181" t="str">
        <x:v>Wind_Market</x:v>
      </x:c>
      <x:c r="C181" t="str">
        <x:v>Addition</x:v>
      </x:c>
      <x:c r="D181" s="26" t="n">
        <x:v>2029</x:v>
      </x:c>
      <x:c r="E181" t="str">
        <x:v>Committed</x:v>
      </x:c>
      <x:c r="F181" t="str">
        <x:v>Wind</x:v>
      </x:c>
      <x:c r="G181" t="str">
        <x:v>Wind</x:v>
      </x:c>
      <x:c r="H181" s="20" t="n">
        <x:v>96.7</x:v>
      </x:c>
      <x:c r="I181" s="20" t="n">
        <x:v>96.7</x:v>
      </x:c>
      <x:c r="J181" t="str">
        <x:v>Unspecified / distributed</x:v>
      </x:c>
      <x:c r="K181"/>
      <x:c r="L181" s="22"/>
      <x:c r="M181" s="22"/>
      <x:c r="N181" t="str">
        <x:v>Not located in IGCEP</x:v>
      </x:c>
      <x:c r="O181" t="str">
        <x:v>Jul-28</x:v>
      </x:c>
      <x:c r="P181" t="str">
        <x:v>Market</x:v>
      </x:c>
      <x:c r="Q181"/>
      <x:c r="R181" t="str">
        <x:v>Wind_Market</x:v>
      </x:c>
      <x:c r="S181" t="n">
        <x:v>122</x:v>
      </x:c>
      <x:c r="T181" t="str">
        <x:v>Table 6-8</x:v>
      </x:c>
      <x:c r="U181" t="n">
        <x:v>119</x:v>
      </x:c>
      <x:c r="V181" t="n">
        <x:v>70</x:v>
      </x:c>
      <x:c r="W181" t="str">
        <x:v>Aggregated/distributed or generic procurement capacity; no plant-level site in Table 6-8.</x:v>
      </x:c>
      <x:c r="X181" s="24" t="n">
        <x:v>41.98</x:v>
      </x:c>
      <x:c r="Y181" s="24" t="n">
        <x:v>41.92</x:v>
      </x:c>
      <x:c r="Z181" s="24" t="n">
        <x:v>41.98</x:v>
      </x:c>
      <x:c r="AA181" s="24" t="n">
        <x:v>41.98</x:v>
      </x:c>
      <x:c r="AB181" s="24" t="n">
        <x:v>41.98</x:v>
      </x:c>
      <x:c r="AC181" s="24" t="n">
        <x:v>41.92</x:v>
      </x:c>
      <x:c r="AD181" s="24" t="n">
        <x:v>41.98</x:v>
      </x:c>
      <x:c r="AE181" s="24" t="n">
        <x:v>41.98</x:v>
      </x:c>
      <x:c r="AF181" s="24" t="n">
        <x:v>41.98</x:v>
      </x:c>
    </x:row>
    <x:row r="182" ht="18" customHeight="1">
      <x:c r="A182" t="str">
        <x:v>A043</x:v>
      </x:c>
      <x:c r="B182" t="str">
        <x:v>Net Meter</x:v>
      </x:c>
      <x:c r="C182" t="str">
        <x:v>Addition</x:v>
      </x:c>
      <x:c r="D182" s="26" t="n">
        <x:v>2030</x:v>
      </x:c>
      <x:c r="E182" t="str">
        <x:v>Committed</x:v>
      </x:c>
      <x:c r="F182" t="str">
        <x:v>Solar PV</x:v>
      </x:c>
      <x:c r="G182" t="str">
        <x:v>PV</x:v>
      </x:c>
      <x:c r="H182" s="20" t="n">
        <x:v>600</x:v>
      </x:c>
      <x:c r="I182" s="20" t="n">
        <x:v>600</x:v>
      </x:c>
      <x:c r="J182" t="str">
        <x:v>Unspecified / distributed</x:v>
      </x:c>
      <x:c r="K182"/>
      <x:c r="L182" s="22"/>
      <x:c r="M182" s="22"/>
      <x:c r="N182" t="str">
        <x:v>Not located in IGCEP</x:v>
      </x:c>
      <x:c r="O182" t="str">
        <x:v>Jul-29</x:v>
      </x:c>
      <x:c r="P182" t="str">
        <x:v>NGC</x:v>
      </x:c>
      <x:c r="Q182"/>
      <x:c r="R182"/>
      <x:c r="S182"/>
      <x:c r="T182" t="str">
        <x:v>Table 6-8</x:v>
      </x:c>
      <x:c r="U182" t="n">
        <x:v>119</x:v>
      </x:c>
      <x:c r="V182" t="n">
        <x:v>70</x:v>
      </x:c>
      <x:c r="W182" t="str">
        <x:v>Aggregated/distributed or generic procurement capacity; no plant-level site in Table 6-8.</x:v>
      </x:c>
      <x:c r="X182" s="24"/>
      <x:c r="Y182" s="24"/>
      <x:c r="Z182" s="24"/>
      <x:c r="AA182" s="24"/>
      <x:c r="AB182" s="24"/>
      <x:c r="AC182" s="24"/>
      <x:c r="AD182" s="24"/>
      <x:c r="AE182" s="24"/>
      <x:c r="AF182" s="24"/>
    </x:row>
    <x:row r="183" ht="18" customHeight="1">
      <x:c r="A183" t="str">
        <x:v>A044</x:v>
      </x:c>
      <x:c r="B183" t="str">
        <x:v>PV_Market</x:v>
      </x:c>
      <x:c r="C183" t="str">
        <x:v>Addition</x:v>
      </x:c>
      <x:c r="D183" s="26" t="n">
        <x:v>2030</x:v>
      </x:c>
      <x:c r="E183" t="str">
        <x:v>Committed</x:v>
      </x:c>
      <x:c r="F183" t="str">
        <x:v>Solar PV</x:v>
      </x:c>
      <x:c r="G183" t="str">
        <x:v>PV</x:v>
      </x:c>
      <x:c r="H183" s="20" t="n">
        <x:v>593.1</x:v>
      </x:c>
      <x:c r="I183" s="20" t="n">
        <x:v>593.1</x:v>
      </x:c>
      <x:c r="J183" t="str">
        <x:v>Unspecified / distributed</x:v>
      </x:c>
      <x:c r="K183"/>
      <x:c r="L183" s="22"/>
      <x:c r="M183" s="22"/>
      <x:c r="N183" t="str">
        <x:v>Not located in IGCEP</x:v>
      </x:c>
      <x:c r="O183" t="str">
        <x:v>Jul-29</x:v>
      </x:c>
      <x:c r="P183" t="str">
        <x:v>Market</x:v>
      </x:c>
      <x:c r="Q183"/>
      <x:c r="R183" t="str">
        <x:v>PV_Market</x:v>
      </x:c>
      <x:c r="S183" t="n">
        <x:v>121</x:v>
      </x:c>
      <x:c r="T183" t="str">
        <x:v>Table 6-8</x:v>
      </x:c>
      <x:c r="U183" t="n">
        <x:v>119</x:v>
      </x:c>
      <x:c r="V183" t="n">
        <x:v>70</x:v>
      </x:c>
      <x:c r="W183" t="str">
        <x:v>Aggregated/distributed or generic procurement capacity; no plant-level site in Table 6-8.</x:v>
      </x:c>
      <x:c r="X183" s="24" t="n">
        <x:v>21.01</x:v>
      </x:c>
      <x:c r="Y183" s="24" t="n">
        <x:v>20.98</x:v>
      </x:c>
      <x:c r="Z183" s="24" t="n">
        <x:v>21.01</x:v>
      </x:c>
      <x:c r="AA183" s="24" t="n">
        <x:v>21.01</x:v>
      </x:c>
      <x:c r="AB183" s="24" t="n">
        <x:v>21.01</x:v>
      </x:c>
      <x:c r="AC183" s="24" t="n">
        <x:v>20.98</x:v>
      </x:c>
      <x:c r="AD183" s="24" t="n">
        <x:v>21.01</x:v>
      </x:c>
      <x:c r="AE183" s="24" t="n">
        <x:v>21.01</x:v>
      </x:c>
      <x:c r="AF183" s="24" t="n">
        <x:v>21.01</x:v>
      </x:c>
    </x:row>
    <x:row r="184" ht="18" customHeight="1">
      <x:c r="A184" t="str">
        <x:v>A045</x:v>
      </x:c>
      <x:c r="B184" t="str">
        <x:v>Wind_Market</x:v>
      </x:c>
      <x:c r="C184" t="str">
        <x:v>Addition</x:v>
      </x:c>
      <x:c r="D184" s="26" t="n">
        <x:v>2030</x:v>
      </x:c>
      <x:c r="E184" t="str">
        <x:v>Committed</x:v>
      </x:c>
      <x:c r="F184" t="str">
        <x:v>Wind</x:v>
      </x:c>
      <x:c r="G184" t="str">
        <x:v>Wind</x:v>
      </x:c>
      <x:c r="H184" s="20" t="n">
        <x:v>96.6</x:v>
      </x:c>
      <x:c r="I184" s="20" t="n">
        <x:v>96.6</x:v>
      </x:c>
      <x:c r="J184" t="str">
        <x:v>Unspecified / distributed</x:v>
      </x:c>
      <x:c r="K184"/>
      <x:c r="L184" s="22"/>
      <x:c r="M184" s="22"/>
      <x:c r="N184" t="str">
        <x:v>Not located in IGCEP</x:v>
      </x:c>
      <x:c r="O184" t="str">
        <x:v>Jul-29</x:v>
      </x:c>
      <x:c r="P184" t="str">
        <x:v>Market</x:v>
      </x:c>
      <x:c r="Q184"/>
      <x:c r="R184" t="str">
        <x:v>Wind_Market</x:v>
      </x:c>
      <x:c r="S184" t="n">
        <x:v>122</x:v>
      </x:c>
      <x:c r="T184" t="str">
        <x:v>Table 6-8</x:v>
      </x:c>
      <x:c r="U184" t="n">
        <x:v>119</x:v>
      </x:c>
      <x:c r="V184" t="n">
        <x:v>70</x:v>
      </x:c>
      <x:c r="W184" t="str">
        <x:v>Aggregated/distributed or generic procurement capacity; no plant-level site in Table 6-8.</x:v>
      </x:c>
      <x:c r="X184" s="24" t="n">
        <x:v>41.98</x:v>
      </x:c>
      <x:c r="Y184" s="24" t="n">
        <x:v>41.92</x:v>
      </x:c>
      <x:c r="Z184" s="24" t="n">
        <x:v>41.98</x:v>
      </x:c>
      <x:c r="AA184" s="24" t="n">
        <x:v>41.98</x:v>
      </x:c>
      <x:c r="AB184" s="24" t="n">
        <x:v>41.98</x:v>
      </x:c>
      <x:c r="AC184" s="24" t="n">
        <x:v>41.92</x:v>
      </x:c>
      <x:c r="AD184" s="24" t="n">
        <x:v>41.98</x:v>
      </x:c>
      <x:c r="AE184" s="24" t="n">
        <x:v>41.98</x:v>
      </x:c>
      <x:c r="AF184" s="24" t="n">
        <x:v>41.98</x:v>
      </x:c>
    </x:row>
    <x:row r="185" ht="18" customHeight="1">
      <x:c r="A185" t="str">
        <x:v>A046</x:v>
      </x:c>
      <x:c r="B185" t="str">
        <x:v>KE_New_Wind</x:v>
      </x:c>
      <x:c r="C185" t="str">
        <x:v>Addition</x:v>
      </x:c>
      <x:c r="D185" s="26" t="n">
        <x:v>2030</x:v>
      </x:c>
      <x:c r="E185" t="str">
        <x:v>Optimised</x:v>
      </x:c>
      <x:c r="F185" t="str">
        <x:v>Wind</x:v>
      </x:c>
      <x:c r="G185" t="str">
        <x:v>Wind</x:v>
      </x:c>
      <x:c r="H185" s="20" t="n">
        <x:v>144</x:v>
      </x:c>
      <x:c r="I185" s="20" t="n">
        <x:v>144</x:v>
      </x:c>
      <x:c r="J185" t="str">
        <x:v>Unspecified / distributed</x:v>
      </x:c>
      <x:c r="K185"/>
      <x:c r="L185" s="22"/>
      <x:c r="M185" s="22"/>
      <x:c r="N185" t="str">
        <x:v>Not located in IGCEP</x:v>
      </x:c>
      <x:c r="O185" t="str">
        <x:v>Jul-29</x:v>
      </x:c>
      <x:c r="P185" t="str">
        <x:v>KE</x:v>
      </x:c>
      <x:c r="Q185"/>
      <x:c r="R185" t="str">
        <x:v>KE_New_Wind</x:v>
      </x:c>
      <x:c r="S185" t="n">
        <x:v>122</x:v>
      </x:c>
      <x:c r="T185" t="str">
        <x:v>Table 6-8</x:v>
      </x:c>
      <x:c r="U185" t="n">
        <x:v>119</x:v>
      </x:c>
      <x:c r="V185" t="n">
        <x:v>70</x:v>
      </x:c>
      <x:c r="W185" t="str">
        <x:v>K-Electric zone is identifiable; specific wind site is not in the schedule.</x:v>
      </x:c>
      <x:c r="X185" s="24" t="n">
        <x:v>41.98</x:v>
      </x:c>
      <x:c r="Y185" s="24" t="n">
        <x:v>41.92</x:v>
      </x:c>
      <x:c r="Z185" s="24" t="n">
        <x:v>41.98</x:v>
      </x:c>
      <x:c r="AA185" s="24" t="n">
        <x:v>41.98</x:v>
      </x:c>
      <x:c r="AB185" s="24" t="n">
        <x:v>41.98</x:v>
      </x:c>
      <x:c r="AC185" s="24" t="n">
        <x:v>41.92</x:v>
      </x:c>
      <x:c r="AD185" s="24" t="n">
        <x:v>41.98</x:v>
      </x:c>
      <x:c r="AE185" s="24" t="n">
        <x:v>41.98</x:v>
      </x:c>
      <x:c r="AF185" s="24" t="n">
        <x:v>41.98</x:v>
      </x:c>
    </x:row>
    <x:row r="186" ht="18" customHeight="1">
      <x:c r="A186" t="str">
        <x:v>A047</x:v>
      </x:c>
      <x:c r="B186" t="str">
        <x:v>Net Meter</x:v>
      </x:c>
      <x:c r="C186" t="str">
        <x:v>Addition</x:v>
      </x:c>
      <x:c r="D186" s="26" t="n">
        <x:v>2031</x:v>
      </x:c>
      <x:c r="E186" t="str">
        <x:v>Committed</x:v>
      </x:c>
      <x:c r="F186" t="str">
        <x:v>Solar PV</x:v>
      </x:c>
      <x:c r="G186" t="str">
        <x:v>PV</x:v>
      </x:c>
      <x:c r="H186" s="20" t="n">
        <x:v>500</x:v>
      </x:c>
      <x:c r="I186" s="20" t="n">
        <x:v>500</x:v>
      </x:c>
      <x:c r="J186" t="str">
        <x:v>Unspecified / distributed</x:v>
      </x:c>
      <x:c r="K186"/>
      <x:c r="L186" s="22"/>
      <x:c r="M186" s="22"/>
      <x:c r="N186" t="str">
        <x:v>Not located in IGCEP</x:v>
      </x:c>
      <x:c r="O186" t="str">
        <x:v>Jul-30</x:v>
      </x:c>
      <x:c r="P186" t="str">
        <x:v>NGC</x:v>
      </x:c>
      <x:c r="Q186"/>
      <x:c r="R186"/>
      <x:c r="S186"/>
      <x:c r="T186" t="str">
        <x:v>Table 6-8</x:v>
      </x:c>
      <x:c r="U186" t="n">
        <x:v>119</x:v>
      </x:c>
      <x:c r="V186" t="n">
        <x:v>70</x:v>
      </x:c>
      <x:c r="W186" t="str">
        <x:v>Aggregated/distributed or generic procurement capacity; no plant-level site in Table 6-8.</x:v>
      </x:c>
      <x:c r="X186" s="24"/>
      <x:c r="Y186" s="24"/>
      <x:c r="Z186" s="24"/>
      <x:c r="AA186" s="24"/>
      <x:c r="AB186" s="24"/>
      <x:c r="AC186" s="24"/>
      <x:c r="AD186" s="24"/>
      <x:c r="AE186" s="24"/>
      <x:c r="AF186" s="24"/>
    </x:row>
    <x:row r="187" ht="18" customHeight="1">
      <x:c r="A187" t="str">
        <x:v>A048</x:v>
      </x:c>
      <x:c r="B187" t="str">
        <x:v>PV_Market</x:v>
      </x:c>
      <x:c r="C187" t="str">
        <x:v>Addition</x:v>
      </x:c>
      <x:c r="D187" s="26" t="n">
        <x:v>2031</x:v>
      </x:c>
      <x:c r="E187" t="str">
        <x:v>Committed</x:v>
      </x:c>
      <x:c r="F187" t="str">
        <x:v>Solar PV</x:v>
      </x:c>
      <x:c r="G187" t="str">
        <x:v>PV</x:v>
      </x:c>
      <x:c r="H187" s="20" t="n">
        <x:v>593.1</x:v>
      </x:c>
      <x:c r="I187" s="20" t="n">
        <x:v>593.1</x:v>
      </x:c>
      <x:c r="J187" t="str">
        <x:v>Unspecified / distributed</x:v>
      </x:c>
      <x:c r="K187"/>
      <x:c r="L187" s="22"/>
      <x:c r="M187" s="22"/>
      <x:c r="N187" t="str">
        <x:v>Not located in IGCEP</x:v>
      </x:c>
      <x:c r="O187" t="str">
        <x:v>Jul-30</x:v>
      </x:c>
      <x:c r="P187" t="str">
        <x:v>Market</x:v>
      </x:c>
      <x:c r="Q187"/>
      <x:c r="R187" t="str">
        <x:v>PV_Market</x:v>
      </x:c>
      <x:c r="S187" t="n">
        <x:v>121</x:v>
      </x:c>
      <x:c r="T187" t="str">
        <x:v>Table 6-8</x:v>
      </x:c>
      <x:c r="U187" t="n">
        <x:v>119</x:v>
      </x:c>
      <x:c r="V187" t="n">
        <x:v>70</x:v>
      </x:c>
      <x:c r="W187" t="str">
        <x:v>Aggregated/distributed or generic procurement capacity; no plant-level site in Table 6-8.</x:v>
      </x:c>
      <x:c r="X187" s="24" t="n">
        <x:v>21.01</x:v>
      </x:c>
      <x:c r="Y187" s="24" t="n">
        <x:v>20.98</x:v>
      </x:c>
      <x:c r="Z187" s="24" t="n">
        <x:v>21.01</x:v>
      </x:c>
      <x:c r="AA187" s="24" t="n">
        <x:v>21.01</x:v>
      </x:c>
      <x:c r="AB187" s="24" t="n">
        <x:v>21.01</x:v>
      </x:c>
      <x:c r="AC187" s="24" t="n">
        <x:v>20.98</x:v>
      </x:c>
      <x:c r="AD187" s="24" t="n">
        <x:v>21.01</x:v>
      </x:c>
      <x:c r="AE187" s="24" t="n">
        <x:v>21.01</x:v>
      </x:c>
      <x:c r="AF187" s="24" t="n">
        <x:v>21.01</x:v>
      </x:c>
    </x:row>
    <x:row r="188" ht="18" customHeight="1">
      <x:c r="A188" t="str">
        <x:v>A049</x:v>
      </x:c>
      <x:c r="B188" t="str">
        <x:v>Wind_Market</x:v>
      </x:c>
      <x:c r="C188" t="str">
        <x:v>Addition</x:v>
      </x:c>
      <x:c r="D188" s="26" t="n">
        <x:v>2031</x:v>
      </x:c>
      <x:c r="E188" t="str">
        <x:v>Committed</x:v>
      </x:c>
      <x:c r="F188" t="str">
        <x:v>Wind</x:v>
      </x:c>
      <x:c r="G188" t="str">
        <x:v>Wind</x:v>
      </x:c>
      <x:c r="H188" s="20" t="n">
        <x:v>96.7</x:v>
      </x:c>
      <x:c r="I188" s="20" t="n">
        <x:v>96.7</x:v>
      </x:c>
      <x:c r="J188" t="str">
        <x:v>Unspecified / distributed</x:v>
      </x:c>
      <x:c r="K188"/>
      <x:c r="L188" s="22"/>
      <x:c r="M188" s="22"/>
      <x:c r="N188" t="str">
        <x:v>Not located in IGCEP</x:v>
      </x:c>
      <x:c r="O188" t="str">
        <x:v>Jul-30</x:v>
      </x:c>
      <x:c r="P188" t="str">
        <x:v>Market</x:v>
      </x:c>
      <x:c r="Q188"/>
      <x:c r="R188" t="str">
        <x:v>Wind_Market</x:v>
      </x:c>
      <x:c r="S188" t="n">
        <x:v>122</x:v>
      </x:c>
      <x:c r="T188" t="str">
        <x:v>Table 6-8</x:v>
      </x:c>
      <x:c r="U188" t="n">
        <x:v>119</x:v>
      </x:c>
      <x:c r="V188" t="n">
        <x:v>70</x:v>
      </x:c>
      <x:c r="W188" t="str">
        <x:v>Aggregated/distributed or generic procurement capacity; no plant-level site in Table 6-8.</x:v>
      </x:c>
      <x:c r="X188" s="24" t="n">
        <x:v>41.98</x:v>
      </x:c>
      <x:c r="Y188" s="24" t="n">
        <x:v>41.92</x:v>
      </x:c>
      <x:c r="Z188" s="24" t="n">
        <x:v>41.98</x:v>
      </x:c>
      <x:c r="AA188" s="24" t="n">
        <x:v>41.98</x:v>
      </x:c>
      <x:c r="AB188" s="24" t="n">
        <x:v>41.98</x:v>
      </x:c>
      <x:c r="AC188" s="24" t="n">
        <x:v>41.92</x:v>
      </x:c>
      <x:c r="AD188" s="24" t="n">
        <x:v>41.98</x:v>
      </x:c>
      <x:c r="AE188" s="24" t="n">
        <x:v>41.98</x:v>
      </x:c>
      <x:c r="AF188" s="24" t="n">
        <x:v>41.98</x:v>
      </x:c>
    </x:row>
    <x:row r="189" ht="18" customHeight="1">
      <x:c r="A189" t="str">
        <x:v>A050</x:v>
      </x:c>
      <x:c r="B189" t="str">
        <x:v>KE_New_Wind</x:v>
      </x:c>
      <x:c r="C189" t="str">
        <x:v>Addition</x:v>
      </x:c>
      <x:c r="D189" s="26" t="n">
        <x:v>2031</x:v>
      </x:c>
      <x:c r="E189" t="str">
        <x:v>Optimised</x:v>
      </x:c>
      <x:c r="F189" t="str">
        <x:v>Wind</x:v>
      </x:c>
      <x:c r="G189" t="str">
        <x:v>Wind</x:v>
      </x:c>
      <x:c r="H189" s="20" t="n">
        <x:v>156</x:v>
      </x:c>
      <x:c r="I189" s="20" t="n">
        <x:v>156</x:v>
      </x:c>
      <x:c r="J189" t="str">
        <x:v>Unspecified / distributed</x:v>
      </x:c>
      <x:c r="K189"/>
      <x:c r="L189" s="22"/>
      <x:c r="M189" s="22"/>
      <x:c r="N189" t="str">
        <x:v>Not located in IGCEP</x:v>
      </x:c>
      <x:c r="O189" t="str">
        <x:v>Jul-30</x:v>
      </x:c>
      <x:c r="P189" t="str">
        <x:v>KE</x:v>
      </x:c>
      <x:c r="Q189"/>
      <x:c r="R189" t="str">
        <x:v>KE_New_Wind</x:v>
      </x:c>
      <x:c r="S189" t="n">
        <x:v>122</x:v>
      </x:c>
      <x:c r="T189" t="str">
        <x:v>Table 6-8</x:v>
      </x:c>
      <x:c r="U189" t="n">
        <x:v>119</x:v>
      </x:c>
      <x:c r="V189" t="n">
        <x:v>70</x:v>
      </x:c>
      <x:c r="W189" t="str">
        <x:v>K-Electric zone is identifiable; specific wind site is not in the schedule.</x:v>
      </x:c>
      <x:c r="X189" s="24" t="n">
        <x:v>41.98</x:v>
      </x:c>
      <x:c r="Y189" s="24" t="n">
        <x:v>41.92</x:v>
      </x:c>
      <x:c r="Z189" s="24" t="n">
        <x:v>41.98</x:v>
      </x:c>
      <x:c r="AA189" s="24" t="n">
        <x:v>41.98</x:v>
      </x:c>
      <x:c r="AB189" s="24" t="n">
        <x:v>41.98</x:v>
      </x:c>
      <x:c r="AC189" s="24" t="n">
        <x:v>41.92</x:v>
      </x:c>
      <x:c r="AD189" s="24" t="n">
        <x:v>41.98</x:v>
      </x:c>
      <x:c r="AE189" s="24" t="n">
        <x:v>41.98</x:v>
      </x:c>
      <x:c r="AF189" s="24" t="n">
        <x:v>41.98</x:v>
      </x:c>
    </x:row>
    <x:row r="190" ht="18" customHeight="1">
      <x:c r="A190" t="str">
        <x:v>A051</x:v>
      </x:c>
      <x:c r="B190" t="str">
        <x:v>New_Wind</x:v>
      </x:c>
      <x:c r="C190" t="str">
        <x:v>Addition</x:v>
      </x:c>
      <x:c r="D190" s="26" t="n">
        <x:v>2031</x:v>
      </x:c>
      <x:c r="E190" t="str">
        <x:v>Optimised</x:v>
      </x:c>
      <x:c r="F190" t="str">
        <x:v>Wind</x:v>
      </x:c>
      <x:c r="G190" t="str">
        <x:v>Wind</x:v>
      </x:c>
      <x:c r="H190" s="20" t="n">
        <x:v>30</x:v>
      </x:c>
      <x:c r="I190" s="20" t="n">
        <x:v>30</x:v>
      </x:c>
      <x:c r="J190" t="str">
        <x:v>Unspecified / distributed</x:v>
      </x:c>
      <x:c r="K190"/>
      <x:c r="L190" s="22"/>
      <x:c r="M190" s="22"/>
      <x:c r="N190" t="str">
        <x:v>Not located in IGCEP</x:v>
      </x:c>
      <x:c r="O190" t="str">
        <x:v>Jul-30</x:v>
      </x:c>
      <x:c r="P190" t="str">
        <x:v>NGC</x:v>
      </x:c>
      <x:c r="Q190"/>
      <x:c r="R190" t="str">
        <x:v>New_Wind</x:v>
      </x:c>
      <x:c r="S190" t="n">
        <x:v>122</x:v>
      </x:c>
      <x:c r="T190" t="str">
        <x:v>Table 6-8</x:v>
      </x:c>
      <x:c r="U190" t="n">
        <x:v>119</x:v>
      </x:c>
      <x:c r="V190" t="n">
        <x:v>70</x:v>
      </x:c>
      <x:c r="W190" t="str">
        <x:v>Aggregated/distributed or generic procurement capacity; no plant-level site in Table 6-8.</x:v>
      </x:c>
      <x:c r="X190" s="24" t="n">
        <x:v>0</x:v>
      </x:c>
      <x:c r="Y190" s="24" t="n">
        <x:v>0</x:v>
      </x:c>
      <x:c r="Z190" s="24" t="n">
        <x:v>0</x:v>
      </x:c>
      <x:c r="AA190" s="24" t="n">
        <x:v>0</x:v>
      </x:c>
      <x:c r="AB190" s="24" t="n">
        <x:v>41.98</x:v>
      </x:c>
      <x:c r="AC190" s="24" t="n">
        <x:v>41.92</x:v>
      </x:c>
      <x:c r="AD190" s="24" t="n">
        <x:v>41.98</x:v>
      </x:c>
      <x:c r="AE190" s="24" t="n">
        <x:v>41.98</x:v>
      </x:c>
      <x:c r="AF190" s="24" t="n">
        <x:v>41.98</x:v>
      </x:c>
    </x:row>
    <x:row r="191" ht="18" customHeight="1">
      <x:c r="A191" t="str">
        <x:v>A052</x:v>
      </x:c>
      <x:c r="B191" t="str">
        <x:v>Net Meter</x:v>
      </x:c>
      <x:c r="C191" t="str">
        <x:v>Addition</x:v>
      </x:c>
      <x:c r="D191" s="26" t="n">
        <x:v>2032</x:v>
      </x:c>
      <x:c r="E191" t="str">
        <x:v>Committed</x:v>
      </x:c>
      <x:c r="F191" t="str">
        <x:v>Solar PV</x:v>
      </x:c>
      <x:c r="G191" t="str">
        <x:v>PV</x:v>
      </x:c>
      <x:c r="H191" s="20" t="n">
        <x:v>400</x:v>
      </x:c>
      <x:c r="I191" s="20" t="n">
        <x:v>400</x:v>
      </x:c>
      <x:c r="J191" t="str">
        <x:v>Unspecified / distributed</x:v>
      </x:c>
      <x:c r="K191"/>
      <x:c r="L191" s="22"/>
      <x:c r="M191" s="22"/>
      <x:c r="N191" t="str">
        <x:v>Not located in IGCEP</x:v>
      </x:c>
      <x:c r="O191" t="str">
        <x:v>Jul-31</x:v>
      </x:c>
      <x:c r="P191" t="str">
        <x:v>NGC</x:v>
      </x:c>
      <x:c r="Q191"/>
      <x:c r="R191"/>
      <x:c r="S191"/>
      <x:c r="T191" t="str">
        <x:v>Table 6-8</x:v>
      </x:c>
      <x:c r="U191" t="n">
        <x:v>120</x:v>
      </x:c>
      <x:c r="V191" t="n">
        <x:v>71</x:v>
      </x:c>
      <x:c r="W191" t="str">
        <x:v>Aggregated/distributed or generic procurement capacity; no plant-level site in Table 6-8.</x:v>
      </x:c>
      <x:c r="X191" s="24"/>
      <x:c r="Y191" s="24"/>
      <x:c r="Z191" s="24"/>
      <x:c r="AA191" s="24"/>
      <x:c r="AB191" s="24"/>
      <x:c r="AC191" s="24"/>
      <x:c r="AD191" s="24"/>
      <x:c r="AE191" s="24"/>
      <x:c r="AF191" s="24"/>
    </x:row>
    <x:row r="192" ht="18" customHeight="1">
      <x:c r="A192" t="str">
        <x:v>A053</x:v>
      </x:c>
      <x:c r="B192" t="str">
        <x:v>C-5</x:v>
      </x:c>
      <x:c r="C192" t="str">
        <x:v>Addition</x:v>
      </x:c>
      <x:c r="D192" s="26" t="n">
        <x:v>2032</x:v>
      </x:c>
      <x:c r="E192" t="str">
        <x:v>Optimised</x:v>
      </x:c>
      <x:c r="F192" t="str">
        <x:v>Nuclear</x:v>
      </x:c>
      <x:c r="G192" t="str">
        <x:v>Nuclear</x:v>
      </x:c>
      <x:c r="H192" s="20" t="n">
        <x:v>1200</x:v>
      </x:c>
      <x:c r="I192" s="20" t="n">
        <x:v>1117</x:v>
      </x:c>
      <x:c r="J192" t="str">
        <x:v>Punjab</x:v>
      </x:c>
      <x:c r="K192" t="str">
        <x:v>Chashma–Mianwali</x:v>
      </x:c>
      <x:c r="L192" s="22" t="n">
        <x:v>32.43</x:v>
      </x:c>
      <x:c r="M192" s="22" t="n">
        <x:v>71.39</x:v>
      </x:c>
      <x:c r="N192" t="str">
        <x:v>Site vicinity</x:v>
      </x:c>
      <x:c r="O192" t="str">
        <x:v>Jul-31</x:v>
      </x:c>
      <x:c r="P192" t="str">
        <x:v>PAEC</x:v>
      </x:c>
      <x:c r="Q192"/>
      <x:c r="R192" t="str">
        <x:v>C-5</x:v>
      </x:c>
      <x:c r="S192" t="n">
        <x:v>124</x:v>
      </x:c>
      <x:c r="T192" t="str">
        <x:v>Table 6-8</x:v>
      </x:c>
      <x:c r="U192" t="n">
        <x:v>120</x:v>
      </x:c>
      <x:c r="V192" t="n">
        <x:v>71</x:v>
      </x:c>
      <x:c r="W192" t="str">
        <x:v>Plant coordinates are not provided in the IGCEP; plotted coordinates are indicative.</x:v>
      </x:c>
      <x:c r="X192" s="24" t="n">
        <x:v>0</x:v>
      </x:c>
      <x:c r="Y192" s="24" t="n">
        <x:v>0</x:v>
      </x:c>
      <x:c r="Z192" s="24" t="n">
        <x:v>0</x:v>
      </x:c>
      <x:c r="AA192" s="24" t="n">
        <x:v>0</x:v>
      </x:c>
      <x:c r="AB192" s="24" t="n">
        <x:v>0</x:v>
      </x:c>
      <x:c r="AC192" s="24" t="n">
        <x:v>87.8</x:v>
      </x:c>
      <x:c r="AD192" s="24" t="n">
        <x:v>84.37</x:v>
      </x:c>
      <x:c r="AE192" s="24" t="n">
        <x:v>85.68</x:v>
      </x:c>
      <x:c r="AF192" s="24" t="n">
        <x:v>87.92</x:v>
      </x:c>
    </x:row>
    <x:row r="193" ht="18" customHeight="1">
      <x:c r="A193" t="str">
        <x:v>A054</x:v>
      </x:c>
      <x:c r="B193" t="str">
        <x:v>KE_New_Wind</x:v>
      </x:c>
      <x:c r="C193" t="str">
        <x:v>Addition</x:v>
      </x:c>
      <x:c r="D193" s="26" t="n">
        <x:v>2032</x:v>
      </x:c>
      <x:c r="E193" t="str">
        <x:v>Optimised</x:v>
      </x:c>
      <x:c r="F193" t="str">
        <x:v>Wind</x:v>
      </x:c>
      <x:c r="G193" t="str">
        <x:v>Wind</x:v>
      </x:c>
      <x:c r="H193" s="20" t="n">
        <x:v>100</x:v>
      </x:c>
      <x:c r="I193" s="20" t="n">
        <x:v>100</x:v>
      </x:c>
      <x:c r="J193" t="str">
        <x:v>Unspecified / distributed</x:v>
      </x:c>
      <x:c r="K193"/>
      <x:c r="L193" s="22"/>
      <x:c r="M193" s="22"/>
      <x:c r="N193" t="str">
        <x:v>Not located in IGCEP</x:v>
      </x:c>
      <x:c r="O193" t="str">
        <x:v>Jul-31</x:v>
      </x:c>
      <x:c r="P193" t="str">
        <x:v>KE</x:v>
      </x:c>
      <x:c r="Q193"/>
      <x:c r="R193" t="str">
        <x:v>KE_New_Wind</x:v>
      </x:c>
      <x:c r="S193" t="n">
        <x:v>122</x:v>
      </x:c>
      <x:c r="T193" t="str">
        <x:v>Table 6-8</x:v>
      </x:c>
      <x:c r="U193" t="n">
        <x:v>120</x:v>
      </x:c>
      <x:c r="V193" t="n">
        <x:v>71</x:v>
      </x:c>
      <x:c r="W193" t="str">
        <x:v>K-Electric zone is identifiable; specific wind site is not in the schedule.</x:v>
      </x:c>
      <x:c r="X193" s="24" t="n">
        <x:v>41.98</x:v>
      </x:c>
      <x:c r="Y193" s="24" t="n">
        <x:v>41.92</x:v>
      </x:c>
      <x:c r="Z193" s="24" t="n">
        <x:v>41.98</x:v>
      </x:c>
      <x:c r="AA193" s="24" t="n">
        <x:v>41.98</x:v>
      </x:c>
      <x:c r="AB193" s="24" t="n">
        <x:v>41.98</x:v>
      </x:c>
      <x:c r="AC193" s="24" t="n">
        <x:v>41.92</x:v>
      </x:c>
      <x:c r="AD193" s="24" t="n">
        <x:v>41.98</x:v>
      </x:c>
      <x:c r="AE193" s="24" t="n">
        <x:v>41.98</x:v>
      </x:c>
      <x:c r="AF193" s="24" t="n">
        <x:v>41.98</x:v>
      </x:c>
    </x:row>
    <x:row r="194" ht="18" customHeight="1">
      <x:c r="A194" t="str">
        <x:v>A055</x:v>
      </x:c>
      <x:c r="B194" t="str">
        <x:v>Net Meter</x:v>
      </x:c>
      <x:c r="C194" t="str">
        <x:v>Addition</x:v>
      </x:c>
      <x:c r="D194" s="26" t="n">
        <x:v>2033</x:v>
      </x:c>
      <x:c r="E194" t="str">
        <x:v>Committed</x:v>
      </x:c>
      <x:c r="F194" t="str">
        <x:v>Solar PV</x:v>
      </x:c>
      <x:c r="G194" t="str">
        <x:v>PV</x:v>
      </x:c>
      <x:c r="H194" s="20" t="n">
        <x:v>300</x:v>
      </x:c>
      <x:c r="I194" s="20" t="n">
        <x:v>300</x:v>
      </x:c>
      <x:c r="J194" t="str">
        <x:v>Unspecified / distributed</x:v>
      </x:c>
      <x:c r="K194"/>
      <x:c r="L194" s="22"/>
      <x:c r="M194" s="22"/>
      <x:c r="N194" t="str">
        <x:v>Not located in IGCEP</x:v>
      </x:c>
      <x:c r="O194" t="str">
        <x:v>Jul-32</x:v>
      </x:c>
      <x:c r="P194" t="str">
        <x:v>NGC</x:v>
      </x:c>
      <x:c r="Q194"/>
      <x:c r="R194"/>
      <x:c r="S194"/>
      <x:c r="T194" t="str">
        <x:v>Table 6-8</x:v>
      </x:c>
      <x:c r="U194" t="n">
        <x:v>120</x:v>
      </x:c>
      <x:c r="V194" t="n">
        <x:v>71</x:v>
      </x:c>
      <x:c r="W194" t="str">
        <x:v>Aggregated/distributed or generic procurement capacity; no plant-level site in Table 6-8.</x:v>
      </x:c>
      <x:c r="X194" s="24"/>
      <x:c r="Y194" s="24"/>
      <x:c r="Z194" s="24"/>
      <x:c r="AA194" s="24"/>
      <x:c r="AB194" s="24"/>
      <x:c r="AC194" s="24"/>
      <x:c r="AD194" s="24"/>
      <x:c r="AE194" s="24"/>
      <x:c r="AF194" s="24"/>
    </x:row>
    <x:row r="195" ht="18" customHeight="1">
      <x:c r="A195" t="str">
        <x:v>A056</x:v>
      </x:c>
      <x:c r="B195" t="str">
        <x:v>Diamer Bhasha (U#1-4)</x:v>
      </x:c>
      <x:c r="C195" t="str">
        <x:v>Addition</x:v>
      </x:c>
      <x:c r="D195" s="26" t="n">
        <x:v>2033</x:v>
      </x:c>
      <x:c r="E195" t="str">
        <x:v>Optimised</x:v>
      </x:c>
      <x:c r="F195" t="str">
        <x:v>Hydro</x:v>
      </x:c>
      <x:c r="G195" t="str">
        <x:v>Hydro</x:v>
      </x:c>
      <x:c r="H195" s="20" t="n">
        <x:v>1500</x:v>
      </x:c>
      <x:c r="I195" s="20" t="n">
        <x:v>1500</x:v>
      </x:c>
      <x:c r="J195" t="str">
        <x:v>Gilgit-Baltistan</x:v>
      </x:c>
      <x:c r="K195" t="str">
        <x:v>Diamer Bhasha dam (GB/KP border)</x:v>
      </x:c>
      <x:c r="L195" s="22" t="n">
        <x:v>35.53</x:v>
      </x:c>
      <x:c r="M195" s="22" t="n">
        <x:v>73.79</x:v>
      </x:c>
      <x:c r="N195" t="str">
        <x:v>Site vicinity</x:v>
      </x:c>
      <x:c r="O195" t="str">
        <x:v>Jul-32</x:v>
      </x:c>
      <x:c r="P195" t="str">
        <x:v>WAPDA</x:v>
      </x:c>
      <x:c r="Q195"/>
      <x:c r="R195" t="str">
        <x:v>Diamer Bhasha</x:v>
      </x:c>
      <x:c r="S195" t="n">
        <x:v>125</x:v>
      </x:c>
      <x:c r="T195" t="str">
        <x:v>Table 6-8</x:v>
      </x:c>
      <x:c r="U195" t="n">
        <x:v>120</x:v>
      </x:c>
      <x:c r="V195" t="n">
        <x:v>71</x:v>
      </x:c>
      <x:c r="W195" t="str">
        <x:v>Plant coordinates are not provided in the IGCEP; plotted coordinates are indicative.</x:v>
      </x:c>
      <x:c r="X195" s="24" t="n">
        <x:v>0</x:v>
      </x:c>
      <x:c r="Y195" s="24" t="n">
        <x:v>0</x:v>
      </x:c>
      <x:c r="Z195" s="24" t="n">
        <x:v>0</x:v>
      </x:c>
      <x:c r="AA195" s="24" t="n">
        <x:v>0</x:v>
      </x:c>
      <x:c r="AB195" s="24" t="n">
        <x:v>0</x:v>
      </x:c>
      <x:c r="AC195" s="24" t="n">
        <x:v>0</x:v>
      </x:c>
      <x:c r="AD195" s="24" t="n">
        <x:v>77.13</x:v>
      </x:c>
      <x:c r="AE195" s="24" t="n">
        <x:v>67.41</x:v>
      </x:c>
      <x:c r="AF195" s="24" t="n">
        <x:v>55.72</x:v>
      </x:c>
    </x:row>
    <x:row r="196" ht="18" customHeight="1">
      <x:c r="A196" t="str">
        <x:v>A057</x:v>
      </x:c>
      <x:c r="B196" t="str">
        <x:v>Batdara</x:v>
      </x:c>
      <x:c r="C196" t="str">
        <x:v>Addition</x:v>
      </x:c>
      <x:c r="D196" s="26" t="n">
        <x:v>2033</x:v>
      </x:c>
      <x:c r="E196" t="str">
        <x:v>Optimised</x:v>
      </x:c>
      <x:c r="F196" t="str">
        <x:v>Hydro</x:v>
      </x:c>
      <x:c r="G196" t="str">
        <x:v>Hydro</x:v>
      </x:c>
      <x:c r="H196" s="20" t="n">
        <x:v>5.2</x:v>
      </x:c>
      <x:c r="I196" s="20" t="n">
        <x:v>5.2</x:v>
      </x:c>
      <x:c r="J196" t="str">
        <x:v>Azad Jammu &amp; Kashmir</x:v>
      </x:c>
      <x:c r="K196" t="str">
        <x:v>Batdara–Muzaffarabad</x:v>
      </x:c>
      <x:c r="L196" s="22" t="n">
        <x:v>34.39</x:v>
      </x:c>
      <x:c r="M196" s="22" t="n">
        <x:v>73.49</x:v>
      </x:c>
      <x:c r="N196" t="str">
        <x:v>Regional locality</x:v>
      </x:c>
      <x:c r="O196" t="str">
        <x:v>Jul-32</x:v>
      </x:c>
      <x:c r="P196" t="str">
        <x:v>AJK-HEB</x:v>
      </x:c>
      <x:c r="Q196"/>
      <x:c r="R196" t="str">
        <x:v>Batdara</x:v>
      </x:c>
      <x:c r="S196" t="n">
        <x:v>122</x:v>
      </x:c>
      <x:c r="T196" t="str">
        <x:v>Table 6-8</x:v>
      </x:c>
      <x:c r="U196" t="n">
        <x:v>120</x:v>
      </x:c>
      <x:c r="V196" t="n">
        <x:v>71</x:v>
      </x:c>
      <x:c r="W196" t="str">
        <x:v>Region inferred from project/agency context; site not geocoded.</x:v>
      </x:c>
      <x:c r="X196" s="24" t="n">
        <x:v>0</x:v>
      </x:c>
      <x:c r="Y196" s="24" t="n">
        <x:v>0</x:v>
      </x:c>
      <x:c r="Z196" s="24" t="n">
        <x:v>0</x:v>
      </x:c>
      <x:c r="AA196" s="24" t="n">
        <x:v>0</x:v>
      </x:c>
      <x:c r="AB196" s="24" t="n">
        <x:v>0</x:v>
      </x:c>
      <x:c r="AC196" s="24" t="n">
        <x:v>0</x:v>
      </x:c>
      <x:c r="AD196" s="24" t="n">
        <x:v>41.22</x:v>
      </x:c>
      <x:c r="AE196" s="24" t="n">
        <x:v>40.19</x:v>
      </x:c>
      <x:c r="AF196" s="24" t="n">
        <x:v>39.72</x:v>
      </x:c>
    </x:row>
    <x:row r="197" ht="18" customHeight="1">
      <x:c r="A197" t="str">
        <x:v>A058</x:v>
      </x:c>
      <x:c r="B197" t="str">
        <x:v>KE_New_Wind</x:v>
      </x:c>
      <x:c r="C197" t="str">
        <x:v>Addition</x:v>
      </x:c>
      <x:c r="D197" s="26" t="n">
        <x:v>2033</x:v>
      </x:c>
      <x:c r="E197" t="str">
        <x:v>Optimised</x:v>
      </x:c>
      <x:c r="F197" t="str">
        <x:v>Wind</x:v>
      </x:c>
      <x:c r="G197" t="str">
        <x:v>Wind</x:v>
      </x:c>
      <x:c r="H197" s="20" t="n">
        <x:v>100</x:v>
      </x:c>
      <x:c r="I197" s="20" t="n">
        <x:v>100</x:v>
      </x:c>
      <x:c r="J197" t="str">
        <x:v>Unspecified / distributed</x:v>
      </x:c>
      <x:c r="K197"/>
      <x:c r="L197" s="22"/>
      <x:c r="M197" s="22"/>
      <x:c r="N197" t="str">
        <x:v>Not located in IGCEP</x:v>
      </x:c>
      <x:c r="O197" t="str">
        <x:v>Jul-32</x:v>
      </x:c>
      <x:c r="P197" t="str">
        <x:v>KE</x:v>
      </x:c>
      <x:c r="Q197"/>
      <x:c r="R197" t="str">
        <x:v>KE_New_Wind</x:v>
      </x:c>
      <x:c r="S197" t="n">
        <x:v>122</x:v>
      </x:c>
      <x:c r="T197" t="str">
        <x:v>Table 6-8</x:v>
      </x:c>
      <x:c r="U197" t="n">
        <x:v>120</x:v>
      </x:c>
      <x:c r="V197" t="n">
        <x:v>71</x:v>
      </x:c>
      <x:c r="W197" t="str">
        <x:v>K-Electric zone is identifiable; specific wind site is not in the schedule.</x:v>
      </x:c>
      <x:c r="X197" s="24" t="n">
        <x:v>41.98</x:v>
      </x:c>
      <x:c r="Y197" s="24" t="n">
        <x:v>41.92</x:v>
      </x:c>
      <x:c r="Z197" s="24" t="n">
        <x:v>41.98</x:v>
      </x:c>
      <x:c r="AA197" s="24" t="n">
        <x:v>41.98</x:v>
      </x:c>
      <x:c r="AB197" s="24" t="n">
        <x:v>41.98</x:v>
      </x:c>
      <x:c r="AC197" s="24" t="n">
        <x:v>41.92</x:v>
      </x:c>
      <x:c r="AD197" s="24" t="n">
        <x:v>41.98</x:v>
      </x:c>
      <x:c r="AE197" s="24" t="n">
        <x:v>41.98</x:v>
      </x:c>
      <x:c r="AF197" s="24" t="n">
        <x:v>41.98</x:v>
      </x:c>
    </x:row>
    <x:row r="198" ht="18" customHeight="1">
      <x:c r="A198" t="str">
        <x:v>A059</x:v>
      </x:c>
      <x:c r="B198" t="str">
        <x:v>New_Wind</x:v>
      </x:c>
      <x:c r="C198" t="str">
        <x:v>Addition</x:v>
      </x:c>
      <x:c r="D198" s="26" t="n">
        <x:v>2033</x:v>
      </x:c>
      <x:c r="E198" t="str">
        <x:v>Optimised</x:v>
      </x:c>
      <x:c r="F198" t="str">
        <x:v>Wind</x:v>
      </x:c>
      <x:c r="G198" t="str">
        <x:v>Wind</x:v>
      </x:c>
      <x:c r="H198" s="20" t="n">
        <x:v>1625</x:v>
      </x:c>
      <x:c r="I198" s="20" t="n">
        <x:v>1625</x:v>
      </x:c>
      <x:c r="J198" t="str">
        <x:v>Unspecified / distributed</x:v>
      </x:c>
      <x:c r="K198"/>
      <x:c r="L198" s="22"/>
      <x:c r="M198" s="22"/>
      <x:c r="N198" t="str">
        <x:v>Not located in IGCEP</x:v>
      </x:c>
      <x:c r="O198" t="str">
        <x:v>Jul-32</x:v>
      </x:c>
      <x:c r="P198" t="str">
        <x:v>NGC</x:v>
      </x:c>
      <x:c r="Q198"/>
      <x:c r="R198" t="str">
        <x:v>New_Wind</x:v>
      </x:c>
      <x:c r="S198" t="n">
        <x:v>122</x:v>
      </x:c>
      <x:c r="T198" t="str">
        <x:v>Table 6-8</x:v>
      </x:c>
      <x:c r="U198" t="n">
        <x:v>120</x:v>
      </x:c>
      <x:c r="V198" t="n">
        <x:v>71</x:v>
      </x:c>
      <x:c r="W198" t="str">
        <x:v>Aggregated/distributed or generic procurement capacity; no plant-level site in Table 6-8.</x:v>
      </x:c>
      <x:c r="X198" s="24" t="n">
        <x:v>0</x:v>
      </x:c>
      <x:c r="Y198" s="24" t="n">
        <x:v>0</x:v>
      </x:c>
      <x:c r="Z198" s="24" t="n">
        <x:v>0</x:v>
      </x:c>
      <x:c r="AA198" s="24" t="n">
        <x:v>0</x:v>
      </x:c>
      <x:c r="AB198" s="24" t="n">
        <x:v>41.98</x:v>
      </x:c>
      <x:c r="AC198" s="24" t="n">
        <x:v>41.92</x:v>
      </x:c>
      <x:c r="AD198" s="24" t="n">
        <x:v>41.98</x:v>
      </x:c>
      <x:c r="AE198" s="24" t="n">
        <x:v>41.98</x:v>
      </x:c>
      <x:c r="AF198" s="24" t="n">
        <x:v>41.98</x:v>
      </x:c>
    </x:row>
    <x:row r="199" ht="18" customHeight="1">
      <x:c r="A199" t="str">
        <x:v>A060</x:v>
      </x:c>
      <x:c r="B199" t="str">
        <x:v>Net Meter</x:v>
      </x:c>
      <x:c r="C199" t="str">
        <x:v>Addition</x:v>
      </x:c>
      <x:c r="D199" s="26" t="n">
        <x:v>2034</x:v>
      </x:c>
      <x:c r="E199" t="str">
        <x:v>Committed</x:v>
      </x:c>
      <x:c r="F199" t="str">
        <x:v>Solar PV</x:v>
      </x:c>
      <x:c r="G199" t="str">
        <x:v>PV</x:v>
      </x:c>
      <x:c r="H199" s="20" t="n">
        <x:v>200</x:v>
      </x:c>
      <x:c r="I199" s="20" t="n">
        <x:v>200</x:v>
      </x:c>
      <x:c r="J199" t="str">
        <x:v>Unspecified / distributed</x:v>
      </x:c>
      <x:c r="K199"/>
      <x:c r="L199" s="22"/>
      <x:c r="M199" s="22"/>
      <x:c r="N199" t="str">
        <x:v>Not located in IGCEP</x:v>
      </x:c>
      <x:c r="O199" t="str">
        <x:v>Jul-33</x:v>
      </x:c>
      <x:c r="P199" t="str">
        <x:v>NGC</x:v>
      </x:c>
      <x:c r="Q199"/>
      <x:c r="R199"/>
      <x:c r="S199"/>
      <x:c r="T199" t="str">
        <x:v>Table 6-8</x:v>
      </x:c>
      <x:c r="U199" t="n">
        <x:v>120</x:v>
      </x:c>
      <x:c r="V199" t="n">
        <x:v>71</x:v>
      </x:c>
      <x:c r="W199" t="str">
        <x:v>Aggregated/distributed or generic procurement capacity; no plant-level site in Table 6-8.</x:v>
      </x:c>
      <x:c r="X199" s="24"/>
      <x:c r="Y199" s="24"/>
      <x:c r="Z199" s="24"/>
      <x:c r="AA199" s="24"/>
      <x:c r="AB199" s="24"/>
      <x:c r="AC199" s="24"/>
      <x:c r="AD199" s="24"/>
      <x:c r="AE199" s="24"/>
      <x:c r="AF199" s="24"/>
    </x:row>
    <x:row r="200" ht="18" customHeight="1">
      <x:c r="A200" t="str">
        <x:v>A061</x:v>
      </x:c>
      <x:c r="B200" t="str">
        <x:v>Diamer Bhasha (U#5-8)</x:v>
      </x:c>
      <x:c r="C200" t="str">
        <x:v>Addition</x:v>
      </x:c>
      <x:c r="D200" s="26" t="n">
        <x:v>2034</x:v>
      </x:c>
      <x:c r="E200" t="str">
        <x:v>Optimised</x:v>
      </x:c>
      <x:c r="F200" t="str">
        <x:v>Hydro</x:v>
      </x:c>
      <x:c r="G200" t="str">
        <x:v>Hydro</x:v>
      </x:c>
      <x:c r="H200" s="20" t="n">
        <x:v>1500</x:v>
      </x:c>
      <x:c r="I200" s="20" t="n">
        <x:v>1500</x:v>
      </x:c>
      <x:c r="J200" t="str">
        <x:v>Gilgit-Baltistan</x:v>
      </x:c>
      <x:c r="K200" t="str">
        <x:v>Diamer Bhasha dam (GB/KP border)</x:v>
      </x:c>
      <x:c r="L200" s="22" t="n">
        <x:v>35.53</x:v>
      </x:c>
      <x:c r="M200" s="22" t="n">
        <x:v>73.79</x:v>
      </x:c>
      <x:c r="N200" t="str">
        <x:v>Site vicinity</x:v>
      </x:c>
      <x:c r="O200" t="str">
        <x:v>Jul-33</x:v>
      </x:c>
      <x:c r="P200" t="str">
        <x:v>WAPDA</x:v>
      </x:c>
      <x:c r="Q200"/>
      <x:c r="R200" t="str">
        <x:v>Diamer Bhasha</x:v>
      </x:c>
      <x:c r="S200" t="n">
        <x:v>125</x:v>
      </x:c>
      <x:c r="T200" t="str">
        <x:v>Table 6-8</x:v>
      </x:c>
      <x:c r="U200" t="n">
        <x:v>120</x:v>
      </x:c>
      <x:c r="V200" t="n">
        <x:v>71</x:v>
      </x:c>
      <x:c r="W200" t="str">
        <x:v>Plant coordinates are not provided in the IGCEP; plotted coordinates are indicative.</x:v>
      </x:c>
      <x:c r="X200" s="24" t="n">
        <x:v>0</x:v>
      </x:c>
      <x:c r="Y200" s="24" t="n">
        <x:v>0</x:v>
      </x:c>
      <x:c r="Z200" s="24" t="n">
        <x:v>0</x:v>
      </x:c>
      <x:c r="AA200" s="24" t="n">
        <x:v>0</x:v>
      </x:c>
      <x:c r="AB200" s="24" t="n">
        <x:v>0</x:v>
      </x:c>
      <x:c r="AC200" s="24" t="n">
        <x:v>0</x:v>
      </x:c>
      <x:c r="AD200" s="24" t="n">
        <x:v>77.13</x:v>
      </x:c>
      <x:c r="AE200" s="24" t="n">
        <x:v>67.41</x:v>
      </x:c>
      <x:c r="AF200" s="24" t="n">
        <x:v>55.72</x:v>
      </x:c>
    </x:row>
    <x:row r="201" ht="18" customHeight="1">
      <x:c r="A201" t="str">
        <x:v>A062</x:v>
      </x:c>
      <x:c r="B201" t="str">
        <x:v>KE_New_Wind</x:v>
      </x:c>
      <x:c r="C201" t="str">
        <x:v>Addition</x:v>
      </x:c>
      <x:c r="D201" s="26" t="n">
        <x:v>2034</x:v>
      </x:c>
      <x:c r="E201" t="str">
        <x:v>Optimised</x:v>
      </x:c>
      <x:c r="F201" t="str">
        <x:v>Wind</x:v>
      </x:c>
      <x:c r="G201" t="str">
        <x:v>Wind</x:v>
      </x:c>
      <x:c r="H201" s="20" t="n">
        <x:v>41</x:v>
      </x:c>
      <x:c r="I201" s="20" t="n">
        <x:v>41</x:v>
      </x:c>
      <x:c r="J201" t="str">
        <x:v>Unspecified / distributed</x:v>
      </x:c>
      <x:c r="K201"/>
      <x:c r="L201" s="22"/>
      <x:c r="M201" s="22"/>
      <x:c r="N201" t="str">
        <x:v>Not located in IGCEP</x:v>
      </x:c>
      <x:c r="O201" t="str">
        <x:v>Jul-33</x:v>
      </x:c>
      <x:c r="P201" t="str">
        <x:v>KE</x:v>
      </x:c>
      <x:c r="Q201"/>
      <x:c r="R201" t="str">
        <x:v>KE_New_Wind</x:v>
      </x:c>
      <x:c r="S201" t="n">
        <x:v>122</x:v>
      </x:c>
      <x:c r="T201" t="str">
        <x:v>Table 6-8</x:v>
      </x:c>
      <x:c r="U201" t="n">
        <x:v>120</x:v>
      </x:c>
      <x:c r="V201" t="n">
        <x:v>71</x:v>
      </x:c>
      <x:c r="W201" t="str">
        <x:v>K-Electric zone is identifiable; specific wind site is not in the schedule.</x:v>
      </x:c>
      <x:c r="X201" s="24" t="n">
        <x:v>41.98</x:v>
      </x:c>
      <x:c r="Y201" s="24" t="n">
        <x:v>41.92</x:v>
      </x:c>
      <x:c r="Z201" s="24" t="n">
        <x:v>41.98</x:v>
      </x:c>
      <x:c r="AA201" s="24" t="n">
        <x:v>41.98</x:v>
      </x:c>
      <x:c r="AB201" s="24" t="n">
        <x:v>41.98</x:v>
      </x:c>
      <x:c r="AC201" s="24" t="n">
        <x:v>41.92</x:v>
      </x:c>
      <x:c r="AD201" s="24" t="n">
        <x:v>41.98</x:v>
      </x:c>
      <x:c r="AE201" s="24" t="n">
        <x:v>41.98</x:v>
      </x:c>
      <x:c r="AF201" s="24" t="n">
        <x:v>41.98</x:v>
      </x:c>
    </x:row>
    <x:row r="202" ht="18" customHeight="1">
      <x:c r="A202" t="str">
        <x:v>A063</x:v>
      </x:c>
      <x:c r="B202" t="str">
        <x:v>Net Meter</x:v>
      </x:c>
      <x:c r="C202" t="str">
        <x:v>Addition</x:v>
      </x:c>
      <x:c r="D202" s="26" t="n">
        <x:v>2035</x:v>
      </x:c>
      <x:c r="E202" t="str">
        <x:v>Committed</x:v>
      </x:c>
      <x:c r="F202" t="str">
        <x:v>Solar PV</x:v>
      </x:c>
      <x:c r="G202" t="str">
        <x:v>PV</x:v>
      </x:c>
      <x:c r="H202" s="20" t="n">
        <x:v>120</x:v>
      </x:c>
      <x:c r="I202" s="20" t="n">
        <x:v>120</x:v>
      </x:c>
      <x:c r="J202" t="str">
        <x:v>Unspecified / distributed</x:v>
      </x:c>
      <x:c r="K202"/>
      <x:c r="L202" s="22"/>
      <x:c r="M202" s="22"/>
      <x:c r="N202" t="str">
        <x:v>Not located in IGCEP</x:v>
      </x:c>
      <x:c r="O202" t="str">
        <x:v>Jul-34</x:v>
      </x:c>
      <x:c r="P202" t="str">
        <x:v>NGC</x:v>
      </x:c>
      <x:c r="Q202"/>
      <x:c r="R202"/>
      <x:c r="S202"/>
      <x:c r="T202" t="str">
        <x:v>Table 6-8</x:v>
      </x:c>
      <x:c r="U202" t="n">
        <x:v>120</x:v>
      </x:c>
      <x:c r="V202" t="n">
        <x:v>71</x:v>
      </x:c>
      <x:c r="W202" t="str">
        <x:v>Aggregated/distributed or generic procurement capacity; no plant-level site in Table 6-8.</x:v>
      </x:c>
      <x:c r="X202" s="24"/>
      <x:c r="Y202" s="24"/>
      <x:c r="Z202" s="24"/>
      <x:c r="AA202" s="24"/>
      <x:c r="AB202" s="24"/>
      <x:c r="AC202" s="24"/>
      <x:c r="AD202" s="24"/>
      <x:c r="AE202" s="24"/>
      <x:c r="AF202" s="24"/>
    </x:row>
    <x:row r="203" ht="18" customHeight="1">
      <x:c r="A203" t="str">
        <x:v>A064</x:v>
      </x:c>
      <x:c r="B203" t="str">
        <x:v>Diamer Bhasha (U#9-12)</x:v>
      </x:c>
      <x:c r="C203" t="str">
        <x:v>Addition</x:v>
      </x:c>
      <x:c r="D203" s="26" t="n">
        <x:v>2035</x:v>
      </x:c>
      <x:c r="E203" t="str">
        <x:v>Optimised</x:v>
      </x:c>
      <x:c r="F203" t="str">
        <x:v>Hydro</x:v>
      </x:c>
      <x:c r="G203" t="str">
        <x:v>Hydro</x:v>
      </x:c>
      <x:c r="H203" s="20" t="n">
        <x:v>1500</x:v>
      </x:c>
      <x:c r="I203" s="20" t="n">
        <x:v>1500</x:v>
      </x:c>
      <x:c r="J203" t="str">
        <x:v>Gilgit-Baltistan</x:v>
      </x:c>
      <x:c r="K203" t="str">
        <x:v>Diamer Bhasha dam (GB/KP border)</x:v>
      </x:c>
      <x:c r="L203" s="22" t="n">
        <x:v>35.53</x:v>
      </x:c>
      <x:c r="M203" s="22" t="n">
        <x:v>73.79</x:v>
      </x:c>
      <x:c r="N203" t="str">
        <x:v>Site vicinity</x:v>
      </x:c>
      <x:c r="O203" t="str">
        <x:v>Jul-34</x:v>
      </x:c>
      <x:c r="P203" t="str">
        <x:v>WAPDA</x:v>
      </x:c>
      <x:c r="Q203"/>
      <x:c r="R203" t="str">
        <x:v>Diamer Bhasha</x:v>
      </x:c>
      <x:c r="S203" t="n">
        <x:v>125</x:v>
      </x:c>
      <x:c r="T203" t="str">
        <x:v>Table 6-8</x:v>
      </x:c>
      <x:c r="U203" t="n">
        <x:v>120</x:v>
      </x:c>
      <x:c r="V203" t="n">
        <x:v>71</x:v>
      </x:c>
      <x:c r="W203" t="str">
        <x:v>Plant coordinates are not provided in the IGCEP; plotted coordinates are indicative.</x:v>
      </x:c>
      <x:c r="X203" s="24" t="n">
        <x:v>0</x:v>
      </x:c>
      <x:c r="Y203" s="24" t="n">
        <x:v>0</x:v>
      </x:c>
      <x:c r="Z203" s="24" t="n">
        <x:v>0</x:v>
      </x:c>
      <x:c r="AA203" s="24" t="n">
        <x:v>0</x:v>
      </x:c>
      <x:c r="AB203" s="24" t="n">
        <x:v>0</x:v>
      </x:c>
      <x:c r="AC203" s="24" t="n">
        <x:v>0</x:v>
      </x:c>
      <x:c r="AD203" s="24" t="n">
        <x:v>77.13</x:v>
      </x:c>
      <x:c r="AE203" s="24" t="n">
        <x:v>67.41</x:v>
      </x:c>
      <x:c r="AF203" s="24" t="n">
        <x:v>55.72</x:v>
      </x:c>
    </x:row>
    <x:row r="204" ht="18" customHeight="1">
      <x:c r="A204" t="str">
        <x:v>A065</x:v>
      </x:c>
      <x:c r="B204" t="str">
        <x:v>KE_New_Wind</x:v>
      </x:c>
      <x:c r="C204" t="str">
        <x:v>Addition</x:v>
      </x:c>
      <x:c r="D204" s="26" t="n">
        <x:v>2035</x:v>
      </x:c>
      <x:c r="E204" t="str">
        <x:v>Optimised</x:v>
      </x:c>
      <x:c r="F204" t="str">
        <x:v>Wind</x:v>
      </x:c>
      <x:c r="G204" t="str">
        <x:v>Wind</x:v>
      </x:c>
      <x:c r="H204" s="20" t="n">
        <x:v>159</x:v>
      </x:c>
      <x:c r="I204" s="20" t="n">
        <x:v>159</x:v>
      </x:c>
      <x:c r="J204" t="str">
        <x:v>Unspecified / distributed</x:v>
      </x:c>
      <x:c r="K204"/>
      <x:c r="L204" s="22"/>
      <x:c r="M204" s="22"/>
      <x:c r="N204" t="str">
        <x:v>Not located in IGCEP</x:v>
      </x:c>
      <x:c r="O204" t="str">
        <x:v>Jul-34</x:v>
      </x:c>
      <x:c r="P204" t="str">
        <x:v>KE</x:v>
      </x:c>
      <x:c r="Q204"/>
      <x:c r="R204" t="str">
        <x:v>KE_New_Wind</x:v>
      </x:c>
      <x:c r="S204" t="n">
        <x:v>122</x:v>
      </x:c>
      <x:c r="T204" t="str">
        <x:v>Table 6-8</x:v>
      </x:c>
      <x:c r="U204" t="n">
        <x:v>120</x:v>
      </x:c>
      <x:c r="V204" t="n">
        <x:v>71</x:v>
      </x:c>
      <x:c r="W204" t="str">
        <x:v>K-Electric zone is identifiable; specific wind site is not in the schedule.</x:v>
      </x:c>
      <x:c r="X204" s="24" t="n">
        <x:v>41.98</x:v>
      </x:c>
      <x:c r="Y204" s="24" t="n">
        <x:v>41.92</x:v>
      </x:c>
      <x:c r="Z204" s="24" t="n">
        <x:v>41.98</x:v>
      </x:c>
      <x:c r="AA204" s="24" t="n">
        <x:v>41.98</x:v>
      </x:c>
      <x:c r="AB204" s="24" t="n">
        <x:v>41.98</x:v>
      </x:c>
      <x:c r="AC204" s="24" t="n">
        <x:v>41.92</x:v>
      </x:c>
      <x:c r="AD204" s="24" t="n">
        <x:v>41.98</x:v>
      </x:c>
      <x:c r="AE204" s="24" t="n">
        <x:v>41.98</x:v>
      </x:c>
      <x:c r="AF204" s="24" t="n">
        <x:v>41.98</x:v>
      </x:c>
    </x:row>
    <x:row r="205" ht="18" customHeight="1">
      <x:c r="A205" t="str">
        <x:v>R001</x:v>
      </x:c>
      <x:c r="B205" t="str">
        <x:v>KAPCO*</x:v>
      </x:c>
      <x:c r="C205" t="str">
        <x:v>Retirement</x:v>
      </x:c>
      <x:c r="D205" s="26" t="n">
        <x:v>2029</x:v>
      </x:c>
      <x:c r="E205" t="str">
        <x:v>Planned retirement</x:v>
      </x:c>
      <x:c r="F205" t="str">
        <x:v>RLNG</x:v>
      </x:c>
      <x:c r="G205" t="str">
        <x:v>RLNG</x:v>
      </x:c>
      <x:c r="H205" s="20" t="n">
        <x:v>495</x:v>
      </x:c>
      <x:c r="I205" s="20"/>
      <x:c r="J205" t="str">
        <x:v>Punjab</x:v>
      </x:c>
      <x:c r="K205" t="str">
        <x:v>Kot Addu</x:v>
      </x:c>
      <x:c r="L205" s="22" t="n">
        <x:v>30.47</x:v>
      </x:c>
      <x:c r="M205" s="22" t="n">
        <x:v>70.96</x:v>
      </x:c>
      <x:c r="N205" t="str">
        <x:v>Site vicinity</x:v>
      </x:c>
      <x:c r="O205"/>
      <x:c r="P205" t="str">
        <x:v>NGC</x:v>
      </x:c>
      <x:c r="Q205"/>
      <x:c r="R205"/>
      <x:c r="S205"/>
      <x:c r="T205" t="str">
        <x:v>Table 5-2</x:v>
      </x:c>
      <x:c r="U205" t="n">
        <x:v>89</x:v>
      </x:c>
      <x:c r="V205" t="n">
        <x:v>43</x:v>
      </x:c>
      <x:c r="W205" t="str">
        <x:v>Plant coordinates are not provided in the IGCEP; plotted coordinates are indicative.</x:v>
      </x:c>
      <x:c r="X205" s="24"/>
      <x:c r="Y205" s="24"/>
      <x:c r="Z205" s="24"/>
      <x:c r="AA205" s="24"/>
      <x:c r="AB205" s="24"/>
      <x:c r="AC205" s="24"/>
      <x:c r="AD205" s="24"/>
      <x:c r="AE205" s="24"/>
      <x:c r="AF205" s="24"/>
    </x:row>
    <x:row r="206" ht="18" customHeight="1">
      <x:c r="A206" t="str">
        <x:v>R002</x:v>
      </x:c>
      <x:c r="B206" t="str">
        <x:v>Liberty</x:v>
      </x:c>
      <x:c r="C206" t="str">
        <x:v>Retirement</x:v>
      </x:c>
      <x:c r="D206" s="26" t="n">
        <x:v>2028</x:v>
      </x:c>
      <x:c r="E206" t="str">
        <x:v>Planned retirement</x:v>
      </x:c>
      <x:c r="F206" t="str">
        <x:v>Gas</x:v>
      </x:c>
      <x:c r="G206" t="str">
        <x:v>Gas</x:v>
      </x:c>
      <x:c r="H206" s="20" t="n">
        <x:v>235</x:v>
      </x:c>
      <x:c r="I206" s="20"/>
      <x:c r="J206" t="str">
        <x:v>Sindh</x:v>
      </x:c>
      <x:c r="K206" t="str">
        <x:v>Ghotki–Daharki gas corridor</x:v>
      </x:c>
      <x:c r="L206" s="22" t="n">
        <x:v>28.02</x:v>
      </x:c>
      <x:c r="M206" s="22" t="n">
        <x:v>69.54</x:v>
      </x:c>
      <x:c r="N206" t="str">
        <x:v>Cluster proxy</x:v>
      </x:c>
      <x:c r="O206"/>
      <x:c r="P206" t="str">
        <x:v>NGC</x:v>
      </x:c>
      <x:c r="Q206"/>
      <x:c r="R206" t="str">
        <x:v>Liberty</x:v>
      </x:c>
      <x:c r="S206" t="n">
        <x:v>124</x:v>
      </x:c>
      <x:c r="T206" t="str">
        <x:v>Table 5-2</x:v>
      </x:c>
      <x:c r="U206" t="n">
        <x:v>89</x:v>
      </x:c>
      <x:c r="V206" t="n">
        <x:v>43</x:v>
      </x:c>
      <x:c r="W206" t="str">
        <x:v>Group marker is a geographical cluster proxy, not the plant’s exact site.</x:v>
      </x:c>
      <x:c r="X206" s="24" t="n">
        <x:v>37.54</x:v>
      </x:c>
      <x:c r="Y206" s="24" t="n">
        <x:v>9.38</x:v>
      </x:c>
      <x:c r="Z206" s="24" t="n">
        <x:v>0</x:v>
      </x:c>
      <x:c r="AA206" s="24" t="n">
        <x:v>0</x:v>
      </x:c>
      <x:c r="AB206" s="24" t="n">
        <x:v>0</x:v>
      </x:c>
      <x:c r="AC206" s="24" t="n">
        <x:v>0</x:v>
      </x:c>
      <x:c r="AD206" s="24" t="n">
        <x:v>0</x:v>
      </x:c>
      <x:c r="AE206" s="24" t="n">
        <x:v>0</x:v>
      </x:c>
      <x:c r="AF206" s="24" t="n">
        <x:v>0</x:v>
      </x:c>
    </x:row>
    <x:row r="207" ht="18" customHeight="1">
      <x:c r="A207" t="str">
        <x:v>R003</x:v>
      </x:c>
      <x:c r="B207" t="str">
        <x:v>Kohinoor</x:v>
      </x:c>
      <x:c r="C207" t="str">
        <x:v>Retirement</x:v>
      </x:c>
      <x:c r="D207" s="26" t="n">
        <x:v>2028</x:v>
      </x:c>
      <x:c r="E207" t="str">
        <x:v>Planned retirement</x:v>
      </x:c>
      <x:c r="F207" t="str">
        <x:v>RFO</x:v>
      </x:c>
      <x:c r="G207" t="str">
        <x:v>RFO</x:v>
      </x:c>
      <x:c r="H207" s="20" t="n">
        <x:v>131</x:v>
      </x:c>
      <x:c r="I207" s="20"/>
      <x:c r="J207" t="str">
        <x:v>Punjab</x:v>
      </x:c>
      <x:c r="K207"/>
      <x:c r="L207" s="22"/>
      <x:c r="M207" s="22"/>
      <x:c r="N207" t="str">
        <x:v>Not located in IGCEP</x:v>
      </x:c>
      <x:c r="O207"/>
      <x:c r="P207" t="str">
        <x:v>NGC</x:v>
      </x:c>
      <x:c r="Q207"/>
      <x:c r="R207" t="str">
        <x:v>Kohinoor</x:v>
      </x:c>
      <x:c r="S207" t="n">
        <x:v>124</x:v>
      </x:c>
      <x:c r="T207" t="str">
        <x:v>Table 5-2</x:v>
      </x:c>
      <x:c r="U207" t="n">
        <x:v>89</x:v>
      </x:c>
      <x:c r="V207" t="n">
        <x:v>43</x:v>
      </x:c>
      <x:c r="W207" t="str">
        <x:v>Region inferred from project/agency context; site not geocoded.</x:v>
      </x:c>
      <x:c r="X207" s="24" t="n">
        <x:v>13.46</x:v>
      </x:c>
      <x:c r="Y207" s="24" t="n">
        <x:v>0</x:v>
      </x:c>
      <x:c r="Z207" s="24" t="n">
        <x:v>0</x:v>
      </x:c>
      <x:c r="AA207" s="24" t="n">
        <x:v>0</x:v>
      </x:c>
      <x:c r="AB207" s="24" t="n">
        <x:v>0</x:v>
      </x:c>
      <x:c r="AC207" s="24" t="n">
        <x:v>0</x:v>
      </x:c>
      <x:c r="AD207" s="24" t="n">
        <x:v>0</x:v>
      </x:c>
      <x:c r="AE207" s="24" t="n">
        <x:v>0</x:v>
      </x:c>
      <x:c r="AF207" s="24" t="n">
        <x:v>0</x:v>
      </x:c>
    </x:row>
    <x:row r="208" ht="18" customHeight="1">
      <x:c r="A208" t="str">
        <x:v>R004</x:v>
      </x:c>
      <x:c r="B208" t="str">
        <x:v>FKPCL</x:v>
      </x:c>
      <x:c r="C208" t="str">
        <x:v>Retirement</x:v>
      </x:c>
      <x:c r="D208" s="26" t="n">
        <x:v>2032</x:v>
      </x:c>
      <x:c r="E208" t="str">
        <x:v>Planned retirement</x:v>
      </x:c>
      <x:c r="F208" t="str">
        <x:v>RLNG</x:v>
      </x:c>
      <x:c r="G208" t="str">
        <x:v>RLNG</x:v>
      </x:c>
      <x:c r="H208" s="20" t="n">
        <x:v>157</x:v>
      </x:c>
      <x:c r="I208" s="20"/>
      <x:c r="J208" t="str">
        <x:v>Punjab</x:v>
      </x:c>
      <x:c r="K208" t="str">
        <x:v>Kabirwala–Khanewal</x:v>
      </x:c>
      <x:c r="L208" s="22" t="n">
        <x:v>30.4</x:v>
      </x:c>
      <x:c r="M208" s="22" t="n">
        <x:v>71.87</x:v>
      </x:c>
      <x:c r="N208" t="str">
        <x:v>Regional locality</x:v>
      </x:c>
      <x:c r="O208"/>
      <x:c r="P208" t="str">
        <x:v>NGC</x:v>
      </x:c>
      <x:c r="Q208"/>
      <x:c r="R208" t="str">
        <x:v>FKPCL</x:v>
      </x:c>
      <x:c r="S208" t="n">
        <x:v>125</x:v>
      </x:c>
      <x:c r="T208" t="str">
        <x:v>Table 5-2</x:v>
      </x:c>
      <x:c r="U208" t="n">
        <x:v>89</x:v>
      </x:c>
      <x:c r="V208" t="n">
        <x:v>43</x:v>
      </x:c>
      <x:c r="W208" t="str">
        <x:v>Plant coordinates are not provided in the IGCEP; plotted coordinates are indicative.</x:v>
      </x:c>
      <x:c r="X208" s="24" t="n">
        <x:v>12.24</x:v>
      </x:c>
      <x:c r="Y208" s="24" t="n">
        <x:v>12.63</x:v>
      </x:c>
      <x:c r="Z208" s="24" t="n">
        <x:v>0.6</x:v>
      </x:c>
      <x:c r="AA208" s="24" t="n">
        <x:v>2.39</x:v>
      </x:c>
      <x:c r="AB208" s="24" t="n">
        <x:v>4.71</x:v>
      </x:c>
      <x:c r="AC208" s="24" t="n">
        <x:v>3.23</x:v>
      </x:c>
      <x:c r="AD208" s="24" t="n">
        <x:v>0</x:v>
      </x:c>
      <x:c r="AE208" s="24" t="n">
        <x:v>0</x:v>
      </x:c>
      <x:c r="AF208" s="24" t="n">
        <x:v>0</x:v>
      </x:c>
    </x:row>
    <x:row r="209" ht="18" customHeight="1">
      <x:c r="A209" t="str">
        <x:v>R005</x:v>
      </x:c>
      <x:c r="B209" t="str">
        <x:v>Uch</x:v>
      </x:c>
      <x:c r="C209" t="str">
        <x:v>Retirement</x:v>
      </x:c>
      <x:c r="D209" s="26" t="n">
        <x:v>2031</x:v>
      </x:c>
      <x:c r="E209" t="str">
        <x:v>Planned retirement</x:v>
      </x:c>
      <x:c r="F209" t="str">
        <x:v>Gas</x:v>
      </x:c>
      <x:c r="G209" t="str">
        <x:v>Gas</x:v>
      </x:c>
      <x:c r="H209" s="20" t="n">
        <x:v>586</x:v>
      </x:c>
      <x:c r="I209" s="20"/>
      <x:c r="J209" t="str">
        <x:v>Balochistan</x:v>
      </x:c>
      <x:c r="K209" t="str">
        <x:v>Uch–Dera Murad Jamali area</x:v>
      </x:c>
      <x:c r="L209" s="22" t="n">
        <x:v>28.46</x:v>
      </x:c>
      <x:c r="M209" s="22" t="n">
        <x:v>68.31</x:v>
      </x:c>
      <x:c r="N209" t="str">
        <x:v>Regional locality</x:v>
      </x:c>
      <x:c r="O209"/>
      <x:c r="P209" t="str">
        <x:v>NGC</x:v>
      </x:c>
      <x:c r="Q209"/>
      <x:c r="R209" t="str">
        <x:v>Uch</x:v>
      </x:c>
      <x:c r="S209" t="n">
        <x:v>124</x:v>
      </x:c>
      <x:c r="T209" t="str">
        <x:v>Table 5-2</x:v>
      </x:c>
      <x:c r="U209" t="n">
        <x:v>89</x:v>
      </x:c>
      <x:c r="V209" t="n">
        <x:v>43</x:v>
      </x:c>
      <x:c r="W209" t="str">
        <x:v>Plant coordinates are not provided in the IGCEP; plotted coordinates are indicative.</x:v>
      </x:c>
      <x:c r="X209" s="24" t="n">
        <x:v>67.9</x:v>
      </x:c>
      <x:c r="Y209" s="24" t="n">
        <x:v>38</x:v>
      </x:c>
      <x:c r="Z209" s="24" t="n">
        <x:v>38</x:v>
      </x:c>
      <x:c r="AA209" s="24" t="n">
        <x:v>38</x:v>
      </x:c>
      <x:c r="AB209" s="24" t="n">
        <x:v>9.5</x:v>
      </x:c>
      <x:c r="AC209" s="24" t="n">
        <x:v>0</x:v>
      </x:c>
      <x:c r="AD209" s="24" t="n">
        <x:v>0</x:v>
      </x:c>
      <x:c r="AE209" s="24" t="n">
        <x:v>0</x:v>
      </x:c>
      <x:c r="AF209" s="24" t="n">
        <x:v>0</x:v>
      </x:c>
    </x:row>
    <x:row r="210" ht="18" customHeight="1">
      <x:c r="A210" t="str">
        <x:v>R006</x:v>
      </x:c>
      <x:c r="B210" t="str">
        <x:v>Altern Energy Limited</x:v>
      </x:c>
      <x:c r="C210" t="str">
        <x:v>Retirement</x:v>
      </x:c>
      <x:c r="D210" s="26" t="n">
        <x:v>2032</x:v>
      </x:c>
      <x:c r="E210" t="str">
        <x:v>Planned retirement</x:v>
      </x:c>
      <x:c r="F210" t="str">
        <x:v>RLNG</x:v>
      </x:c>
      <x:c r="G210" t="str">
        <x:v>RLNG</x:v>
      </x:c>
      <x:c r="H210" s="20" t="n">
        <x:v>31</x:v>
      </x:c>
      <x:c r="I210" s="20"/>
      <x:c r="J210" t="str">
        <x:v>Unspecified / distributed</x:v>
      </x:c>
      <x:c r="K210"/>
      <x:c r="L210" s="22"/>
      <x:c r="M210" s="22"/>
      <x:c r="N210" t="str">
        <x:v>Not located in IGCEP</x:v>
      </x:c>
      <x:c r="O210"/>
      <x:c r="P210" t="str">
        <x:v>NGC</x:v>
      </x:c>
      <x:c r="Q210"/>
      <x:c r="R210"/>
      <x:c r="S210"/>
      <x:c r="T210" t="str">
        <x:v>Table 5-2</x:v>
      </x:c>
      <x:c r="U210" t="n">
        <x:v>89</x:v>
      </x:c>
      <x:c r="V210" t="n">
        <x:v>43</x:v>
      </x:c>
      <x:c r="W210" t="str">
        <x:v>Region inferred from project/agency context; site not geocoded.</x:v>
      </x:c>
      <x:c r="X210" s="24"/>
      <x:c r="Y210" s="24"/>
      <x:c r="Z210" s="24"/>
      <x:c r="AA210" s="24"/>
      <x:c r="AB210" s="24"/>
      <x:c r="AC210" s="24"/>
      <x:c r="AD210" s="24"/>
      <x:c r="AE210" s="24"/>
      <x:c r="AF210" s="24"/>
    </x:row>
    <x:row r="211" ht="18" customHeight="1">
      <x:c r="A211" t="str">
        <x:v>R007</x:v>
      </x:c>
      <x:c r="B211" t="str">
        <x:v>AGL</x:v>
      </x:c>
      <x:c r="C211" t="str">
        <x:v>Retirement</x:v>
      </x:c>
      <x:c r="D211" s="26" t="n">
        <x:v>2034</x:v>
      </x:c>
      <x:c r="E211" t="str">
        <x:v>Planned retirement</x:v>
      </x:c>
      <x:c r="F211" t="str">
        <x:v>RFO</x:v>
      </x:c>
      <x:c r="G211" t="str">
        <x:v>RFO</x:v>
      </x:c>
      <x:c r="H211" s="20" t="n">
        <x:v>163</x:v>
      </x:c>
      <x:c r="I211" s="20"/>
      <x:c r="J211" t="str">
        <x:v>Punjab</x:v>
      </x:c>
      <x:c r="K211"/>
      <x:c r="L211" s="22"/>
      <x:c r="M211" s="22"/>
      <x:c r="N211" t="str">
        <x:v>Not located in IGCEP</x:v>
      </x:c>
      <x:c r="O211"/>
      <x:c r="P211" t="str">
        <x:v>NGC</x:v>
      </x:c>
      <x:c r="Q211"/>
      <x:c r="R211" t="str">
        <x:v>AGL</x:v>
      </x:c>
      <x:c r="S211" t="n">
        <x:v>124</x:v>
      </x:c>
      <x:c r="T211" t="str">
        <x:v>Table 5-2</x:v>
      </x:c>
      <x:c r="U211" t="n">
        <x:v>89</x:v>
      </x:c>
      <x:c r="V211" t="n">
        <x:v>43</x:v>
      </x:c>
      <x:c r="W211" t="str">
        <x:v>Region inferred from project/agency context; site not geocoded.</x:v>
      </x:c>
      <x:c r="X211" s="24" t="n">
        <x:v>14.23</x:v>
      </x:c>
      <x:c r="Y211" s="24" t="n">
        <x:v>14.23</x:v>
      </x:c>
      <x:c r="Z211" s="24" t="n">
        <x:v>0</x:v>
      </x:c>
      <x:c r="AA211" s="24" t="n">
        <x:v>0</x:v>
      </x:c>
      <x:c r="AB211" s="24" t="n">
        <x:v>0</x:v>
      </x:c>
      <x:c r="AC211" s="24" t="n">
        <x:v>0</x:v>
      </x:c>
      <x:c r="AD211" s="24" t="n">
        <x:v>0</x:v>
      </x:c>
      <x:c r="AE211" s="24" t="n">
        <x:v>0</x:v>
      </x:c>
      <x:c r="AF211" s="24" t="n">
        <x:v>0</x:v>
      </x:c>
    </x:row>
    <x:row r="212" ht="18" customHeight="1">
      <x:c r="A212" t="str">
        <x:v>R008</x:v>
      </x:c>
      <x:c r="B212" t="str">
        <x:v>Gael</x:v>
      </x:c>
      <x:c r="C212" t="str">
        <x:v>Retirement</x:v>
      </x:c>
      <x:c r="D212" s="26" t="n">
        <x:v>2025</x:v>
      </x:c>
      <x:c r="E212" t="str">
        <x:v>Planned retirement</x:v>
      </x:c>
      <x:c r="F212" t="str">
        <x:v>RFO</x:v>
      </x:c>
      <x:c r="G212" t="str">
        <x:v>RFO</x:v>
      </x:c>
      <x:c r="H212" s="20" t="n">
        <x:v>136</x:v>
      </x:c>
      <x:c r="I212" s="20"/>
      <x:c r="J212" t="str">
        <x:v>Unspecified / distributed</x:v>
      </x:c>
      <x:c r="K212"/>
      <x:c r="L212" s="22"/>
      <x:c r="M212" s="22"/>
      <x:c r="N212" t="str">
        <x:v>Not located in IGCEP</x:v>
      </x:c>
      <x:c r="O212"/>
      <x:c r="P212" t="str">
        <x:v>NGC</x:v>
      </x:c>
      <x:c r="Q212"/>
      <x:c r="R212" t="str">
        <x:v>GAEL</x:v>
      </x:c>
      <x:c r="S212" t="n">
        <x:v>124</x:v>
      </x:c>
      <x:c r="T212" t="str">
        <x:v>Table 5-2</x:v>
      </x:c>
      <x:c r="U212" t="n">
        <x:v>89</x:v>
      </x:c>
      <x:c r="V212" t="n">
        <x:v>43</x:v>
      </x:c>
      <x:c r="W212" t="str">
        <x:v>Region inferred from project/agency context; site not geocoded.</x:v>
      </x:c>
      <x:c r="X212" s="24" t="n">
        <x:v>0</x:v>
      </x:c>
      <x:c r="Y212" s="24" t="n">
        <x:v>0</x:v>
      </x:c>
      <x:c r="Z212" s="24" t="n">
        <x:v>0</x:v>
      </x:c>
      <x:c r="AA212" s="24" t="n">
        <x:v>0</x:v>
      </x:c>
      <x:c r="AB212" s="24" t="n">
        <x:v>0</x:v>
      </x:c>
      <x:c r="AC212" s="24" t="n">
        <x:v>0</x:v>
      </x:c>
      <x:c r="AD212" s="24" t="n">
        <x:v>0</x:v>
      </x:c>
      <x:c r="AE212" s="24" t="n">
        <x:v>0</x:v>
      </x:c>
      <x:c r="AF212" s="24" t="n">
        <x:v>0</x:v>
      </x:c>
    </x:row>
    <x:row r="213" ht="18" customHeight="1">
      <x:c r="A213" t="str">
        <x:v>R009</x:v>
      </x:c>
      <x:c r="B213" t="str">
        <x:v>Engro Qadirpur</x:v>
      </x:c>
      <x:c r="C213" t="str">
        <x:v>Retirement</x:v>
      </x:c>
      <x:c r="D213" s="26" t="n">
        <x:v>2035</x:v>
      </x:c>
      <x:c r="E213" t="str">
        <x:v>Planned retirement</x:v>
      </x:c>
      <x:c r="F213" t="str">
        <x:v>Gas</x:v>
      </x:c>
      <x:c r="G213" t="str">
        <x:v>Gas</x:v>
      </x:c>
      <x:c r="H213" s="20" t="n">
        <x:v>223</x:v>
      </x:c>
      <x:c r="I213" s="20"/>
      <x:c r="J213" t="str">
        <x:v>Sindh</x:v>
      </x:c>
      <x:c r="K213" t="str">
        <x:v>Ghotki–Daharki gas corridor</x:v>
      </x:c>
      <x:c r="L213" s="22" t="n">
        <x:v>28.02</x:v>
      </x:c>
      <x:c r="M213" s="22" t="n">
        <x:v>69.54</x:v>
      </x:c>
      <x:c r="N213" t="str">
        <x:v>Cluster proxy</x:v>
      </x:c>
      <x:c r="O213"/>
      <x:c r="P213" t="str">
        <x:v>NGC</x:v>
      </x:c>
      <x:c r="Q213"/>
      <x:c r="R213" t="str">
        <x:v>Engro_Qadirpur</x:v>
      </x:c>
      <x:c r="S213" t="n">
        <x:v>124</x:v>
      </x:c>
      <x:c r="T213" t="str">
        <x:v>Table 5-2</x:v>
      </x:c>
      <x:c r="U213" t="n">
        <x:v>89</x:v>
      </x:c>
      <x:c r="V213" t="n">
        <x:v>43</x:v>
      </x:c>
      <x:c r="W213" t="str">
        <x:v>Group marker is a geographical cluster proxy, not the plant’s exact site.</x:v>
      </x:c>
      <x:c r="X213" s="24" t="n">
        <x:v>28.01</x:v>
      </x:c>
      <x:c r="Y213" s="24" t="n">
        <x:v>14.87</x:v>
      </x:c>
      <x:c r="Z213" s="24" t="n">
        <x:v>11.1</x:v>
      </x:c>
      <x:c r="AA213" s="24" t="n">
        <x:v>11.73</x:v>
      </x:c>
      <x:c r="AB213" s="24" t="n">
        <x:v>11.93</x:v>
      </x:c>
      <x:c r="AC213" s="24" t="n">
        <x:v>9.33</x:v>
      </x:c>
      <x:c r="AD213" s="24" t="n">
        <x:v>9.45</x:v>
      </x:c>
      <x:c r="AE213" s="24" t="n">
        <x:v>7.22</x:v>
      </x:c>
      <x:c r="AF213" s="24" t="n">
        <x:v>4.12</x:v>
      </x:c>
    </x:row>
    <x:row r="214" ht="18" customHeight="1">
      <x:c r="A214" t="str">
        <x:v>R010</x:v>
      </x:c>
      <x:c r="B214" t="str">
        <x:v>BQPS1-U5</x:v>
      </x:c>
      <x:c r="C214" t="str">
        <x:v>Retirement</x:v>
      </x:c>
      <x:c r="D214" s="26" t="n">
        <x:v>2027</x:v>
      </x:c>
      <x:c r="E214" t="str">
        <x:v>Planned retirement</x:v>
      </x:c>
      <x:c r="F214" t="str">
        <x:v>RLNG</x:v>
      </x:c>
      <x:c r="G214" t="str">
        <x:v>RLNG</x:v>
      </x:c>
      <x:c r="H214" s="20" t="n">
        <x:v>210</x:v>
      </x:c>
      <x:c r="I214" s="20"/>
      <x:c r="J214" t="str">
        <x:v>Sindh</x:v>
      </x:c>
      <x:c r="K214" t="str">
        <x:v>Karachi power complex</x:v>
      </x:c>
      <x:c r="L214" s="22" t="n">
        <x:v>24.82</x:v>
      </x:c>
      <x:c r="M214" s="22" t="n">
        <x:v>67.35</x:v>
      </x:c>
      <x:c r="N214" t="str">
        <x:v>Cluster proxy</x:v>
      </x:c>
      <x:c r="O214"/>
      <x:c r="P214" t="str">
        <x:v>KE</x:v>
      </x:c>
      <x:c r="Q214"/>
      <x:c r="R214" t="str">
        <x:v>BQPS1-U5</x:v>
      </x:c>
      <x:c r="S214" t="n">
        <x:v>125</x:v>
      </x:c>
      <x:c r="T214" t="str">
        <x:v>Table 5-2</x:v>
      </x:c>
      <x:c r="U214" t="n">
        <x:v>89</x:v>
      </x:c>
      <x:c r="V214" t="n">
        <x:v>43</x:v>
      </x:c>
      <x:c r="W214" t="str">
        <x:v>Group marker is a geographical cluster proxy, not the plant’s exact site.</x:v>
      </x:c>
      <x:c r="X214" s="24" t="n">
        <x:v>0</x:v>
      </x:c>
      <x:c r="Y214" s="24" t="n">
        <x:v>0</x:v>
      </x:c>
      <x:c r="Z214" s="24" t="n">
        <x:v>0</x:v>
      </x:c>
      <x:c r="AA214" s="24" t="n">
        <x:v>0</x:v>
      </x:c>
      <x:c r="AB214" s="24" t="n">
        <x:v>0</x:v>
      </x:c>
      <x:c r="AC214" s="24" t="n">
        <x:v>0</x:v>
      </x:c>
      <x:c r="AD214" s="24" t="n">
        <x:v>0</x:v>
      </x:c>
      <x:c r="AE214" s="24" t="n">
        <x:v>0</x:v>
      </x:c>
      <x:c r="AF214" s="24" t="n">
        <x:v>0</x:v>
      </x:c>
    </x:row>
    <x:row r="215" ht="18" customHeight="1">
      <x:c r="A215" t="str">
        <x:v>R011</x:v>
      </x:c>
      <x:c r="B215" t="str">
        <x:v>BQPS1-U6</x:v>
      </x:c>
      <x:c r="C215" t="str">
        <x:v>Retirement</x:v>
      </x:c>
      <x:c r="D215" s="26" t="n">
        <x:v>2033</x:v>
      </x:c>
      <x:c r="E215" t="str">
        <x:v>Planned retirement</x:v>
      </x:c>
      <x:c r="F215" t="str">
        <x:v>RLNG</x:v>
      </x:c>
      <x:c r="G215" t="str">
        <x:v>RLNG</x:v>
      </x:c>
      <x:c r="H215" s="20" t="n">
        <x:v>210</x:v>
      </x:c>
      <x:c r="I215" s="20"/>
      <x:c r="J215" t="str">
        <x:v>Sindh</x:v>
      </x:c>
      <x:c r="K215" t="str">
        <x:v>Karachi power complex</x:v>
      </x:c>
      <x:c r="L215" s="22" t="n">
        <x:v>24.82</x:v>
      </x:c>
      <x:c r="M215" s="22" t="n">
        <x:v>67.35</x:v>
      </x:c>
      <x:c r="N215" t="str">
        <x:v>Cluster proxy</x:v>
      </x:c>
      <x:c r="O215"/>
      <x:c r="P215" t="str">
        <x:v>KE</x:v>
      </x:c>
      <x:c r="Q215"/>
      <x:c r="R215" t="str">
        <x:v>BQPS1-U5</x:v>
      </x:c>
      <x:c r="S215" t="n">
        <x:v>125</x:v>
      </x:c>
      <x:c r="T215" t="str">
        <x:v>Table 5-2</x:v>
      </x:c>
      <x:c r="U215" t="n">
        <x:v>89</x:v>
      </x:c>
      <x:c r="V215" t="n">
        <x:v>43</x:v>
      </x:c>
      <x:c r="W215" t="str">
        <x:v>Group marker is a geographical cluster proxy, not the plant’s exact site.</x:v>
      </x:c>
      <x:c r="X215" s="24" t="n">
        <x:v>0</x:v>
      </x:c>
      <x:c r="Y215" s="24" t="n">
        <x:v>0</x:v>
      </x:c>
      <x:c r="Z215" s="24" t="n">
        <x:v>0</x:v>
      </x:c>
      <x:c r="AA215" s="24" t="n">
        <x:v>0</x:v>
      </x:c>
      <x:c r="AB215" s="24" t="n">
        <x:v>0</x:v>
      </x:c>
      <x:c r="AC215" s="24" t="n">
        <x:v>0</x:v>
      </x:c>
      <x:c r="AD215" s="24" t="n">
        <x:v>0</x:v>
      </x:c>
      <x:c r="AE215" s="24" t="n">
        <x:v>0</x:v>
      </x:c>
      <x:c r="AF215" s="24" t="n">
        <x:v>0</x:v>
      </x:c>
    </x:row>
  </x:sheetData>
  <x:mergeCells>
    <x:mergeCell ref="A1:AF1"/>
    <x:mergeCell ref="A2:AF2"/>
  </x:mergeCells>
  <x:conditionalFormatting sqref="N4:N215">
    <x:cfRule type="expression" dxfId="0" priority="1">
      <x:formula>N4="Not located in IGCEP"</x:formula>
    </x:cfRule>
  </x:conditionalFormatting>
  <x:conditionalFormatting sqref="C4:C215">
    <x:cfRule type="expression" dxfId="1" priority="2">
      <x:formula>C4="Retirement"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a01f3b210f45c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5" hidden="0" customWidth="1"/>
    <x:col min="3" max="3" width="19" hidden="0" customWidth="1"/>
    <x:col min="4" max="4" width="13" hidden="0" customWidth="1"/>
    <x:col min="5" max="5" width="15" hidden="0" customWidth="1"/>
    <x:col min="6" max="6" width="18" hidden="0" customWidth="1"/>
    <x:col min="7" max="7" width="17" hidden="0" customWidth="1"/>
    <x:col min="8" max="8" width="18" hidden="0" customWidth="1"/>
    <x:col min="9" max="9" width="19" hidden="0" customWidth="1"/>
    <x:col min="10" max="10" width="16" hidden="0" customWidth="1"/>
    <x:col min="11" max="11" width="27" hidden="0" customWidth="1"/>
    <x:col min="12" max="12" width="25" hidden="0" customWidth="1"/>
    <x:col min="13" max="13" width="15" hidden="0" customWidth="1"/>
    <x:col min="14" max="14" width="15" hidden="0" customWidth="1"/>
    <x:col min="15" max="15" width="32" hidden="0" customWidth="1"/>
  </x:cols>
  <x:sheetData>
    <x:row r="1" ht="30" customHeight="1">
      <x:c r="A1" s="4" t="str">
        <x:v>Main RCA • Annual Plant Additions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" customHeight="1">
      <x:c r="A2" s="10" t="str">
        <x:v>Every one of the 65 numbered entries in Table 6-8 | FY ending is derived from scheduled month-year, not a verified commissioning date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 ht="26" customHeight="1">
      <x:c r="A3" s="16" t="str">
        <x:v>Table 6-8 row</x:v>
      </x:c>
      <x:c r="B3" s="16" t="str">
        <x:v>IGCEP plant name</x:v>
      </x:c>
      <x:c r="C3" s="16" t="str">
        <x:v>Technology</x:v>
      </x:c>
      <x:c r="D3" s="16" t="str">
        <x:v>FY ending</x:v>
      </x:c>
      <x:c r="E3" s="16" t="str">
        <x:v>Fuel</x:v>
      </x:c>
      <x:c r="F3" s="16" t="str">
        <x:v>Status</x:v>
      </x:c>
      <x:c r="G3" s="16" t="str">
        <x:v>Agency</x:v>
      </x:c>
      <x:c r="H3" s="16" t="str">
        <x:v>Installed MW</x:v>
      </x:c>
      <x:c r="I3" s="16" t="str">
        <x:v>Dependable MW</x:v>
      </x:c>
      <x:c r="J3" s="16" t="str">
        <x:v>Planned COD</x:v>
      </x:c>
      <x:c r="K3" s="16" t="str">
        <x:v>Region</x:v>
      </x:c>
      <x:c r="L3" s="16" t="str">
        <x:v>Mapping confidence</x:v>
      </x:c>
      <x:c r="M3" s="16" t="str">
        <x:v>IGCEP PDF p.</x:v>
      </x:c>
      <x:c r="N3" s="16" t="str">
        <x:v>Printed p.</x:v>
      </x:c>
      <x:c r="O3" s="16" t="str">
        <x:v>Location / anchor</x:v>
      </x:c>
    </x:row>
    <x:row r="4" ht="18" customHeight="1">
      <x:c r="A4" t="n">
        <x:v>1</x:v>
      </x:c>
      <x:c r="B4" t="str">
        <x:v>Lawi</x:v>
      </x:c>
      <x:c r="C4" t="str">
        <x:v>Hydro</x:v>
      </x:c>
      <x:c r="D4" t="n">
        <x:v>2025</x:v>
      </x:c>
      <x:c r="E4" t="str">
        <x:v>Hydro</x:v>
      </x:c>
      <x:c r="F4" t="str">
        <x:v>Committed</x:v>
      </x:c>
      <x:c r="G4" t="str">
        <x:v>GoKPK</x:v>
      </x:c>
      <x:c r="H4" s="20" t="n">
        <x:v>69</x:v>
      </x:c>
      <x:c r="I4" s="20" t="n">
        <x:v>69</x:v>
      </x:c>
      <x:c r="J4" t="str">
        <x:v>May-25</x:v>
      </x:c>
      <x:c r="K4" t="str">
        <x:v>Khyber Pakhtunkhwa</x:v>
      </x:c>
      <x:c r="L4" t="str">
        <x:v>Site vicinity</x:v>
      </x:c>
      <x:c r="M4" t="n">
        <x:v>118</x:v>
      </x:c>
      <x:c r="N4" t="n">
        <x:v>69</x:v>
      </x:c>
      <x:c r="O4" t="str">
        <x:v>Lawi–Chitral</x:v>
      </x:c>
    </x:row>
    <x:row r="5" ht="18" customHeight="1">
      <x:c r="A5" t="n">
        <x:v>2</x:v>
      </x:c>
      <x:c r="B5" t="str">
        <x:v>Jagran-II</x:v>
      </x:c>
      <x:c r="C5" t="str">
        <x:v>Hydro</x:v>
      </x:c>
      <x:c r="D5" t="n">
        <x:v>2025</x:v>
      </x:c>
      <x:c r="E5" t="str">
        <x:v>Hydro</x:v>
      </x:c>
      <x:c r="F5" t="str">
        <x:v>Committed</x:v>
      </x:c>
      <x:c r="G5" t="str">
        <x:v>AJK-HEB</x:v>
      </x:c>
      <x:c r="H5" s="20" t="n">
        <x:v>48</x:v>
      </x:c>
      <x:c r="I5" s="20" t="n">
        <x:v>48</x:v>
      </x:c>
      <x:c r="J5" t="str">
        <x:v>May-25</x:v>
      </x:c>
      <x:c r="K5" t="str">
        <x:v>Azad Jammu &amp; Kashmir</x:v>
      </x:c>
      <x:c r="L5" t="str">
        <x:v>Regional locality</x:v>
      </x:c>
      <x:c r="M5" t="n">
        <x:v>118</x:v>
      </x:c>
      <x:c r="N5" t="n">
        <x:v>69</x:v>
      </x:c>
      <x:c r="O5" t="str">
        <x:v>Jagran–Neelum Valley</x:v>
      </x:c>
    </x:row>
    <x:row r="6" ht="18" customHeight="1">
      <x:c r="A6" t="n">
        <x:v>3</x:v>
      </x:c>
      <x:c r="B6" t="str">
        <x:v>Koto</x:v>
      </x:c>
      <x:c r="C6" t="str">
        <x:v>Hydro</x:v>
      </x:c>
      <x:c r="D6" t="n">
        <x:v>2025</x:v>
      </x:c>
      <x:c r="E6" t="str">
        <x:v>Hydro</x:v>
      </x:c>
      <x:c r="F6" t="str">
        <x:v>Committed</x:v>
      </x:c>
      <x:c r="G6" t="str">
        <x:v>GoKPK</x:v>
      </x:c>
      <x:c r="H6" s="20" t="n">
        <x:v>40.8</x:v>
      </x:c>
      <x:c r="I6" s="20" t="n">
        <x:v>40.8</x:v>
      </x:c>
      <x:c r="J6" t="str">
        <x:v>May-25</x:v>
      </x:c>
      <x:c r="K6" t="str">
        <x:v>Khyber Pakhtunkhwa</x:v>
      </x:c>
      <x:c r="L6" t="str">
        <x:v>Site vicinity</x:v>
      </x:c>
      <x:c r="M6" t="n">
        <x:v>118</x:v>
      </x:c>
      <x:c r="N6" t="n">
        <x:v>69</x:v>
      </x:c>
      <x:c r="O6" t="str">
        <x:v>Koto–Lower Dir</x:v>
      </x:c>
    </x:row>
    <x:row r="7" ht="18" customHeight="1">
      <x:c r="A7" t="n">
        <x:v>4</x:v>
      </x:c>
      <x:c r="B7" t="str">
        <x:v>Jabori</x:v>
      </x:c>
      <x:c r="C7" t="str">
        <x:v>Hydro</x:v>
      </x:c>
      <x:c r="D7" t="n">
        <x:v>2025</x:v>
      </x:c>
      <x:c r="E7" t="str">
        <x:v>Hydro</x:v>
      </x:c>
      <x:c r="F7" t="str">
        <x:v>Committed</x:v>
      </x:c>
      <x:c r="G7" t="str">
        <x:v>GoKPK</x:v>
      </x:c>
      <x:c r="H7" s="20" t="n">
        <x:v>10.2</x:v>
      </x:c>
      <x:c r="I7" s="20" t="n">
        <x:v>10.2</x:v>
      </x:c>
      <x:c r="J7" t="str">
        <x:v>May-25</x:v>
      </x:c>
      <x:c r="K7" t="str">
        <x:v>Khyber Pakhtunkhwa</x:v>
      </x:c>
      <x:c r="L7" t="str">
        <x:v>Regional locality</x:v>
      </x:c>
      <x:c r="M7" t="n">
        <x:v>118</x:v>
      </x:c>
      <x:c r="N7" t="n">
        <x:v>69</x:v>
      </x:c>
      <x:c r="O7" t="str">
        <x:v>Jabori–Mansehra</x:v>
      </x:c>
    </x:row>
    <x:row r="8" ht="18" customHeight="1">
      <x:c r="A8" t="n">
        <x:v>5</x:v>
      </x:c>
      <x:c r="B8" t="str">
        <x:v>Chamfall</x:v>
      </x:c>
      <x:c r="C8" t="str">
        <x:v>Hydro</x:v>
      </x:c>
      <x:c r="D8" t="n">
        <x:v>2025</x:v>
      </x:c>
      <x:c r="E8" t="str">
        <x:v>Hydro</x:v>
      </x:c>
      <x:c r="F8" t="str">
        <x:v>Committed</x:v>
      </x:c>
      <x:c r="G8" t="str">
        <x:v>AJK-HEB</x:v>
      </x:c>
      <x:c r="H8" s="20" t="n">
        <x:v>3.22</x:v>
      </x:c>
      <x:c r="I8" s="20" t="n">
        <x:v>3.22</x:v>
      </x:c>
      <x:c r="J8" t="str">
        <x:v>May-25</x:v>
      </x:c>
      <x:c r="K8" t="str">
        <x:v>Azad Jammu &amp; Kashmir</x:v>
      </x:c>
      <x:c r="L8" t="str">
        <x:v>Not located in IGCEP</x:v>
      </x:c>
      <x:c r="M8" t="n">
        <x:v>118</x:v>
      </x:c>
      <x:c r="N8" t="n">
        <x:v>69</x:v>
      </x:c>
      <x:c r="O8"/>
    </x:row>
    <x:row r="9" ht="18" customHeight="1">
      <x:c r="A9" t="n">
        <x:v>6</x:v>
      </x:c>
      <x:c r="B9" t="str">
        <x:v>Karora</x:v>
      </x:c>
      <x:c r="C9" t="str">
        <x:v>Hydro</x:v>
      </x:c>
      <x:c r="D9" t="n">
        <x:v>2025</x:v>
      </x:c>
      <x:c r="E9" t="str">
        <x:v>Hydro</x:v>
      </x:c>
      <x:c r="F9" t="str">
        <x:v>Committed</x:v>
      </x:c>
      <x:c r="G9" t="str">
        <x:v>GoKPK</x:v>
      </x:c>
      <x:c r="H9" s="20" t="n">
        <x:v>11.8</x:v>
      </x:c>
      <x:c r="I9" s="20" t="n">
        <x:v>11.8</x:v>
      </x:c>
      <x:c r="J9" t="str">
        <x:v>May-25</x:v>
      </x:c>
      <x:c r="K9" t="str">
        <x:v>Khyber Pakhtunkhwa</x:v>
      </x:c>
      <x:c r="L9" t="str">
        <x:v>Cluster proxy</x:v>
      </x:c>
      <x:c r="M9" t="n">
        <x:v>118</x:v>
      </x:c>
      <x:c r="N9" t="n">
        <x:v>69</x:v>
      </x:c>
      <x:c r="O9" t="str">
        <x:v>Shangla–Battagram corridor</x:v>
      </x:c>
    </x:row>
    <x:row r="10" ht="18" customHeight="1">
      <x:c r="A10" t="n">
        <x:v>7</x:v>
      </x:c>
      <x:c r="B10" t="str">
        <x:v>Riali-II (U#1)</x:v>
      </x:c>
      <x:c r="C10" t="str">
        <x:v>Hydro</x:v>
      </x:c>
      <x:c r="D10" t="n">
        <x:v>2025</x:v>
      </x:c>
      <x:c r="E10" t="str">
        <x:v>Hydro</x:v>
      </x:c>
      <x:c r="F10" t="str">
        <x:v>Committed</x:v>
      </x:c>
      <x:c r="G10" t="str">
        <x:v>PPIB</x:v>
      </x:c>
      <x:c r="H10" s="20" t="n">
        <x:v>3.5</x:v>
      </x:c>
      <x:c r="I10" s="20" t="n">
        <x:v>3.5</x:v>
      </x:c>
      <x:c r="J10" t="str">
        <x:v>Jun-25</x:v>
      </x:c>
      <x:c r="K10" t="str">
        <x:v>Azad Jammu &amp; Kashmir</x:v>
      </x:c>
      <x:c r="L10" t="str">
        <x:v>Regional locality</x:v>
      </x:c>
      <x:c r="M10" t="n">
        <x:v>118</x:v>
      </x:c>
      <x:c r="N10" t="n">
        <x:v>69</x:v>
      </x:c>
      <x:c r="O10" t="str">
        <x:v>Riali-II–Muzaffarabad</x:v>
      </x:c>
    </x:row>
    <x:row r="11" ht="18" customHeight="1">
      <x:c r="A11" t="n">
        <x:v>8</x:v>
      </x:c>
      <x:c r="B11" t="str">
        <x:v>Riali-II (U#2)</x:v>
      </x:c>
      <x:c r="C11" t="str">
        <x:v>Hydro</x:v>
      </x:c>
      <x:c r="D11" t="n">
        <x:v>2025</x:v>
      </x:c>
      <x:c r="E11" t="str">
        <x:v>Hydro</x:v>
      </x:c>
      <x:c r="F11" t="str">
        <x:v>Committed</x:v>
      </x:c>
      <x:c r="G11" t="str">
        <x:v>PPIB</x:v>
      </x:c>
      <x:c r="H11" s="20" t="n">
        <x:v>3.5</x:v>
      </x:c>
      <x:c r="I11" s="20" t="n">
        <x:v>3.5</x:v>
      </x:c>
      <x:c r="J11" t="str">
        <x:v>Jun-25</x:v>
      </x:c>
      <x:c r="K11" t="str">
        <x:v>Azad Jammu &amp; Kashmir</x:v>
      </x:c>
      <x:c r="L11" t="str">
        <x:v>Regional locality</x:v>
      </x:c>
      <x:c r="M11" t="n">
        <x:v>118</x:v>
      </x:c>
      <x:c r="N11" t="n">
        <x:v>69</x:v>
      </x:c>
      <x:c r="O11" t="str">
        <x:v>Riali-II–Muzaffarabad</x:v>
      </x:c>
    </x:row>
    <x:row r="12" ht="18" customHeight="1">
      <x:c r="A12" t="n">
        <x:v>9</x:v>
      </x:c>
      <x:c r="B12" t="str">
        <x:v>Kurram Tangi</x:v>
      </x:c>
      <x:c r="C12" t="str">
        <x:v>Hydro</x:v>
      </x:c>
      <x:c r="D12" t="n">
        <x:v>2025</x:v>
      </x:c>
      <x:c r="E12" t="str">
        <x:v>Hydro</x:v>
      </x:c>
      <x:c r="F12" t="str">
        <x:v>Committed</x:v>
      </x:c>
      <x:c r="G12" t="str">
        <x:v>WAPDA</x:v>
      </x:c>
      <x:c r="H12" s="20" t="n">
        <x:v>18</x:v>
      </x:c>
      <x:c r="I12" s="20" t="n">
        <x:v>18</x:v>
      </x:c>
      <x:c r="J12" t="str">
        <x:v>Jun-25</x:v>
      </x:c>
      <x:c r="K12" t="str">
        <x:v>Khyber Pakhtunkhwa</x:v>
      </x:c>
      <x:c r="L12" t="str">
        <x:v>Site vicinity</x:v>
      </x:c>
      <x:c r="M12" t="n">
        <x:v>118</x:v>
      </x:c>
      <x:c r="N12" t="n">
        <x:v>69</x:v>
      </x:c>
      <x:c r="O12" t="str">
        <x:v>Kurram Tangi–North Waziristan</x:v>
      </x:c>
    </x:row>
    <x:row r="13" ht="18" customHeight="1">
      <x:c r="A13" t="n">
        <x:v>10</x:v>
      </x:c>
      <x:c r="B13" t="str">
        <x:v>Net Meter</x:v>
      </x:c>
      <x:c r="C13" t="str">
        <x:v>Solar PV</x:v>
      </x:c>
      <x:c r="D13" t="n">
        <x:v>2025</x:v>
      </x:c>
      <x:c r="E13" t="str">
        <x:v>PV</x:v>
      </x:c>
      <x:c r="F13" t="str">
        <x:v>Committed</x:v>
      </x:c>
      <x:c r="G13" t="str">
        <x:v>NGC</x:v>
      </x:c>
      <x:c r="H13" s="20" t="n">
        <x:v>2400</x:v>
      </x:c>
      <x:c r="I13" s="20" t="n">
        <x:v>2400</x:v>
      </x:c>
      <x:c r="J13" t="str">
        <x:v>Jul-24</x:v>
      </x:c>
      <x:c r="K13" t="str">
        <x:v>Unspecified / distributed</x:v>
      </x:c>
      <x:c r="L13" t="str">
        <x:v>Not located in IGCEP</x:v>
      </x:c>
      <x:c r="M13" t="n">
        <x:v>118</x:v>
      </x:c>
      <x:c r="N13" t="n">
        <x:v>69</x:v>
      </x:c>
      <x:c r="O13"/>
    </x:row>
    <x:row r="14" ht="18" customHeight="1">
      <x:c r="A14" t="n">
        <x:v>11</x:v>
      </x:c>
      <x:c r="B14" t="str">
        <x:v>Gorkin Matiltan</x:v>
      </x:c>
      <x:c r="C14" t="str">
        <x:v>Hydro</x:v>
      </x:c>
      <x:c r="D14" t="n">
        <x:v>2026</x:v>
      </x:c>
      <x:c r="E14" t="str">
        <x:v>Hydro</x:v>
      </x:c>
      <x:c r="F14" t="str">
        <x:v>Committed</x:v>
      </x:c>
      <x:c r="G14" t="str">
        <x:v>GoKPK</x:v>
      </x:c>
      <x:c r="H14" s="20" t="n">
        <x:v>84</x:v>
      </x:c>
      <x:c r="I14" s="20" t="n">
        <x:v>84</x:v>
      </x:c>
      <x:c r="J14" t="str">
        <x:v>Aug-25</x:v>
      </x:c>
      <x:c r="K14" t="str">
        <x:v>Khyber Pakhtunkhwa</x:v>
      </x:c>
      <x:c r="L14" t="str">
        <x:v>Site vicinity</x:v>
      </x:c>
      <x:c r="M14" t="n">
        <x:v>118</x:v>
      </x:c>
      <x:c r="N14" t="n">
        <x:v>69</x:v>
      </x:c>
      <x:c r="O14" t="str">
        <x:v>Matiltan–Swat</x:v>
      </x:c>
    </x:row>
    <x:row r="15" ht="18" customHeight="1">
      <x:c r="A15" t="n">
        <x:v>12</x:v>
      </x:c>
      <x:c r="B15" t="str">
        <x:v>Nardagian</x:v>
      </x:c>
      <x:c r="C15" t="str">
        <x:v>Hydro</x:v>
      </x:c>
      <x:c r="D15" t="n">
        <x:v>2026</x:v>
      </x:c>
      <x:c r="E15" t="str">
        <x:v>Hydro</x:v>
      </x:c>
      <x:c r="F15" t="str">
        <x:v>Committed</x:v>
      </x:c>
      <x:c r="G15" t="str">
        <x:v>AJK-HEB</x:v>
      </x:c>
      <x:c r="H15" s="20" t="n">
        <x:v>3.22</x:v>
      </x:c>
      <x:c r="I15" s="20" t="n">
        <x:v>3.22</x:v>
      </x:c>
      <x:c r="J15" t="str">
        <x:v>Dec-25</x:v>
      </x:c>
      <x:c r="K15" t="str">
        <x:v>Azad Jammu &amp; Kashmir</x:v>
      </x:c>
      <x:c r="L15" t="str">
        <x:v>Not located in IGCEP</x:v>
      </x:c>
      <x:c r="M15" t="n">
        <x:v>118</x:v>
      </x:c>
      <x:c r="N15" t="n">
        <x:v>69</x:v>
      </x:c>
      <x:c r="O15"/>
    </x:row>
    <x:row r="16" ht="18" customHeight="1">
      <x:c r="A16" t="n">
        <x:v>13</x:v>
      </x:c>
      <x:c r="B16" t="str">
        <x:v>Mangla Refurshbiment (U#1&amp;2)</x:v>
      </x:c>
      <x:c r="C16" t="str">
        <x:v>Hydro</x:v>
      </x:c>
      <x:c r="D16" t="n">
        <x:v>2026</x:v>
      </x:c>
      <x:c r="E16" t="str">
        <x:v>Hydro</x:v>
      </x:c>
      <x:c r="F16" t="str">
        <x:v>Committed</x:v>
      </x:c>
      <x:c r="G16" t="str">
        <x:v>WAPDA</x:v>
      </x:c>
      <x:c r="H16" s="20" t="n">
        <x:v>70</x:v>
      </x:c>
      <x:c r="I16" s="20" t="n">
        <x:v>70</x:v>
      </x:c>
      <x:c r="J16" t="str">
        <x:v>Feb-26</x:v>
      </x:c>
      <x:c r="K16" t="str">
        <x:v>Azad Jammu &amp; Kashmir</x:v>
      </x:c>
      <x:c r="L16" t="str">
        <x:v>Site vicinity</x:v>
      </x:c>
      <x:c r="M16" t="n">
        <x:v>118</x:v>
      </x:c>
      <x:c r="N16" t="n">
        <x:v>69</x:v>
      </x:c>
      <x:c r="O16" t="str">
        <x:v>Mangla–Mirpur</x:v>
      </x:c>
    </x:row>
    <x:row r="17" ht="18" customHeight="1">
      <x:c r="A17" t="n">
        <x:v>14</x:v>
      </x:c>
      <x:c r="B17" t="str">
        <x:v>Net Meter</x:v>
      </x:c>
      <x:c r="C17" t="str">
        <x:v>Solar PV</x:v>
      </x:c>
      <x:c r="D17" t="n">
        <x:v>2026</x:v>
      </x:c>
      <x:c r="E17" t="str">
        <x:v>PV</x:v>
      </x:c>
      <x:c r="F17" t="str">
        <x:v>Committed</x:v>
      </x:c>
      <x:c r="G17" t="str">
        <x:v>NGC</x:v>
      </x:c>
      <x:c r="H17" s="20" t="n">
        <x:v>1200</x:v>
      </x:c>
      <x:c r="I17" s="20" t="n">
        <x:v>1200</x:v>
      </x:c>
      <x:c r="J17" t="str">
        <x:v>Jul-25</x:v>
      </x:c>
      <x:c r="K17" t="str">
        <x:v>Unspecified / distributed</x:v>
      </x:c>
      <x:c r="L17" t="str">
        <x:v>Not located in IGCEP</x:v>
      </x:c>
      <x:c r="M17" t="n">
        <x:v>118</x:v>
      </x:c>
      <x:c r="N17" t="n">
        <x:v>69</x:v>
      </x:c>
      <x:c r="O17"/>
    </x:row>
    <x:row r="18" ht="18" customHeight="1">
      <x:c r="A18" t="n">
        <x:v>15</x:v>
      </x:c>
      <x:c r="B18" t="str">
        <x:v>Tarbela_Ext_5 (U#1)</x:v>
      </x:c>
      <x:c r="C18" t="str">
        <x:v>Hydro</x:v>
      </x:c>
      <x:c r="D18" t="n">
        <x:v>2027</x:v>
      </x:c>
      <x:c r="E18" t="str">
        <x:v>Hydro</x:v>
      </x:c>
      <x:c r="F18" t="str">
        <x:v>Committed</x:v>
      </x:c>
      <x:c r="G18" t="str">
        <x:v>WAPDA</x:v>
      </x:c>
      <x:c r="H18" s="20" t="n">
        <x:v>510</x:v>
      </x:c>
      <x:c r="I18" s="20" t="n">
        <x:v>510</x:v>
      </x:c>
      <x:c r="J18" t="str">
        <x:v>Sep-26</x:v>
      </x:c>
      <x:c r="K18" t="str">
        <x:v>Khyber Pakhtunkhwa</x:v>
      </x:c>
      <x:c r="L18" t="str">
        <x:v>Site vicinity</x:v>
      </x:c>
      <x:c r="M18" t="n">
        <x:v>118</x:v>
      </x:c>
      <x:c r="N18" t="n">
        <x:v>69</x:v>
      </x:c>
      <x:c r="O18" t="str">
        <x:v>Tarbela–Ghazi Barotha</x:v>
      </x:c>
    </x:row>
    <x:row r="19" ht="18" customHeight="1">
      <x:c r="A19" t="n">
        <x:v>16</x:v>
      </x:c>
      <x:c r="B19" t="str">
        <x:v>Tarbela_Ext_5 (U#2)</x:v>
      </x:c>
      <x:c r="C19" t="str">
        <x:v>Hydro</x:v>
      </x:c>
      <x:c r="D19" t="n">
        <x:v>2027</x:v>
      </x:c>
      <x:c r="E19" t="str">
        <x:v>Hydro</x:v>
      </x:c>
      <x:c r="F19" t="str">
        <x:v>Committed</x:v>
      </x:c>
      <x:c r="G19" t="str">
        <x:v>WAPDA</x:v>
      </x:c>
      <x:c r="H19" s="20" t="n">
        <x:v>510</x:v>
      </x:c>
      <x:c r="I19" s="20" t="n">
        <x:v>510</x:v>
      </x:c>
      <x:c r="J19" t="str">
        <x:v>Nov-26</x:v>
      </x:c>
      <x:c r="K19" t="str">
        <x:v>Khyber Pakhtunkhwa</x:v>
      </x:c>
      <x:c r="L19" t="str">
        <x:v>Site vicinity</x:v>
      </x:c>
      <x:c r="M19" t="n">
        <x:v>118</x:v>
      </x:c>
      <x:c r="N19" t="n">
        <x:v>69</x:v>
      </x:c>
      <x:c r="O19" t="str">
        <x:v>Tarbela–Ghazi Barotha</x:v>
      </x:c>
    </x:row>
    <x:row r="20" ht="18" customHeight="1">
      <x:c r="A20" t="n">
        <x:v>17</x:v>
      </x:c>
      <x:c r="B20" t="str">
        <x:v>Tarbela_Ext_5 (U#3)</x:v>
      </x:c>
      <x:c r="C20" t="str">
        <x:v>Hydro</x:v>
      </x:c>
      <x:c r="D20" t="n">
        <x:v>2027</x:v>
      </x:c>
      <x:c r="E20" t="str">
        <x:v>Hydro</x:v>
      </x:c>
      <x:c r="F20" t="str">
        <x:v>Committed</x:v>
      </x:c>
      <x:c r="G20" t="str">
        <x:v>WAPDA</x:v>
      </x:c>
      <x:c r="H20" s="20" t="n">
        <x:v>510</x:v>
      </x:c>
      <x:c r="I20" s="20" t="n">
        <x:v>510</x:v>
      </x:c>
      <x:c r="J20" t="str">
        <x:v>Dec-26</x:v>
      </x:c>
      <x:c r="K20" t="str">
        <x:v>Khyber Pakhtunkhwa</x:v>
      </x:c>
      <x:c r="L20" t="str">
        <x:v>Site vicinity</x:v>
      </x:c>
      <x:c r="M20" t="n">
        <x:v>118</x:v>
      </x:c>
      <x:c r="N20" t="n">
        <x:v>69</x:v>
      </x:c>
      <x:c r="O20" t="str">
        <x:v>Tarbela–Ghazi Barotha</x:v>
      </x:c>
    </x:row>
    <x:row r="21" ht="18" customHeight="1">
      <x:c r="A21" t="n">
        <x:v>18</x:v>
      </x:c>
      <x:c r="B21" t="str">
        <x:v>Dasu (U#1)</x:v>
      </x:c>
      <x:c r="C21" t="str">
        <x:v>Hydro</x:v>
      </x:c>
      <x:c r="D21" t="n">
        <x:v>2027</x:v>
      </x:c>
      <x:c r="E21" t="str">
        <x:v>Hydro</x:v>
      </x:c>
      <x:c r="F21" t="str">
        <x:v>Committed</x:v>
      </x:c>
      <x:c r="G21" t="str">
        <x:v>WAPDA</x:v>
      </x:c>
      <x:c r="H21" s="20" t="n">
        <x:v>360</x:v>
      </x:c>
      <x:c r="I21" s="20" t="n">
        <x:v>360</x:v>
      </x:c>
      <x:c r="J21" t="str">
        <x:v>May-27</x:v>
      </x:c>
      <x:c r="K21" t="str">
        <x:v>Khyber Pakhtunkhwa</x:v>
      </x:c>
      <x:c r="L21" t="str">
        <x:v>Site vicinity</x:v>
      </x:c>
      <x:c r="M21" t="n">
        <x:v>118</x:v>
      </x:c>
      <x:c r="N21" t="n">
        <x:v>69</x:v>
      </x:c>
      <x:c r="O21" t="str">
        <x:v>Dasu–Upper Kohistan</x:v>
      </x:c>
    </x:row>
    <x:row r="22" ht="18" customHeight="1">
      <x:c r="A22" t="n">
        <x:v>19</x:v>
      </x:c>
      <x:c r="B22" t="str">
        <x:v>Mangla Refurshbiment (U#9&amp;10)</x:v>
      </x:c>
      <x:c r="C22" t="str">
        <x:v>Hydro</x:v>
      </x:c>
      <x:c r="D22" t="n">
        <x:v>2027</x:v>
      </x:c>
      <x:c r="E22" t="str">
        <x:v>Hydro</x:v>
      </x:c>
      <x:c r="F22" t="str">
        <x:v>Committed</x:v>
      </x:c>
      <x:c r="G22" t="str">
        <x:v>WAPDA</x:v>
      </x:c>
      <x:c r="H22" s="20" t="n">
        <x:v>70</x:v>
      </x:c>
      <x:c r="I22" s="20" t="n">
        <x:v>70</x:v>
      </x:c>
      <x:c r="J22" t="str">
        <x:v>Jun-27</x:v>
      </x:c>
      <x:c r="K22" t="str">
        <x:v>Azad Jammu &amp; Kashmir</x:v>
      </x:c>
      <x:c r="L22" t="str">
        <x:v>Site vicinity</x:v>
      </x:c>
      <x:c r="M22" t="n">
        <x:v>118</x:v>
      </x:c>
      <x:c r="N22" t="n">
        <x:v>69</x:v>
      </x:c>
      <x:c r="O22" t="str">
        <x:v>Mangla–Mirpur</x:v>
      </x:c>
    </x:row>
    <x:row r="23" ht="18" customHeight="1">
      <x:c r="A23" t="n">
        <x:v>20</x:v>
      </x:c>
      <x:c r="B23" t="str">
        <x:v>Net Meter</x:v>
      </x:c>
      <x:c r="C23" t="str">
        <x:v>Solar PV</x:v>
      </x:c>
      <x:c r="D23" t="n">
        <x:v>2027</x:v>
      </x:c>
      <x:c r="E23" t="str">
        <x:v>PV</x:v>
      </x:c>
      <x:c r="F23" t="str">
        <x:v>Committed</x:v>
      </x:c>
      <x:c r="G23" t="str">
        <x:v>NGC</x:v>
      </x:c>
      <x:c r="H23" s="20" t="n">
        <x:v>900</x:v>
      </x:c>
      <x:c r="I23" s="20" t="n">
        <x:v>900</x:v>
      </x:c>
      <x:c r="J23" t="str">
        <x:v>Jul-26</x:v>
      </x:c>
      <x:c r="K23" t="str">
        <x:v>Unspecified / distributed</x:v>
      </x:c>
      <x:c r="L23" t="str">
        <x:v>Not located in IGCEP</x:v>
      </x:c>
      <x:c r="M23" t="n">
        <x:v>118</x:v>
      </x:c>
      <x:c r="N23" t="n">
        <x:v>69</x:v>
      </x:c>
      <x:c r="O23"/>
    </x:row>
    <x:row r="24" ht="18" customHeight="1">
      <x:c r="A24" t="n">
        <x:v>21</x:v>
      </x:c>
      <x:c r="B24" t="str">
        <x:v>PV_Market</x:v>
      </x:c>
      <x:c r="C24" t="str">
        <x:v>Solar PV</x:v>
      </x:c>
      <x:c r="D24" t="n">
        <x:v>2027</x:v>
      </x:c>
      <x:c r="E24" t="str">
        <x:v>PV</x:v>
      </x:c>
      <x:c r="F24" t="str">
        <x:v>Committed</x:v>
      </x:c>
      <x:c r="G24" t="str">
        <x:v>Market</x:v>
      </x:c>
      <x:c r="H24" s="20" t="n">
        <x:v>301.9</x:v>
      </x:c>
      <x:c r="I24" s="20" t="n">
        <x:v>301.9</x:v>
      </x:c>
      <x:c r="J24" t="str">
        <x:v>Jul-26</x:v>
      </x:c>
      <x:c r="K24" t="str">
        <x:v>Unspecified / distributed</x:v>
      </x:c>
      <x:c r="L24" t="str">
        <x:v>Not located in IGCEP</x:v>
      </x:c>
      <x:c r="M24" t="n">
        <x:v>118</x:v>
      </x:c>
      <x:c r="N24" t="n">
        <x:v>69</x:v>
      </x:c>
      <x:c r="O24"/>
    </x:row>
    <x:row r="25" ht="18" customHeight="1">
      <x:c r="A25" t="n">
        <x:v>22</x:v>
      </x:c>
      <x:c r="B25" t="str">
        <x:v>Wind_Market</x:v>
      </x:c>
      <x:c r="C25" t="str">
        <x:v>Wind</x:v>
      </x:c>
      <x:c r="D25" t="n">
        <x:v>2027</x:v>
      </x:c>
      <x:c r="E25" t="str">
        <x:v>Wind</x:v>
      </x:c>
      <x:c r="F25" t="str">
        <x:v>Committed</x:v>
      </x:c>
      <x:c r="G25" t="str">
        <x:v>Market</x:v>
      </x:c>
      <x:c r="H25" s="20" t="n">
        <x:v>49.2</x:v>
      </x:c>
      <x:c r="I25" s="20" t="n">
        <x:v>49.2</x:v>
      </x:c>
      <x:c r="J25" t="str">
        <x:v>Jul-26</x:v>
      </x:c>
      <x:c r="K25" t="str">
        <x:v>Unspecified / distributed</x:v>
      </x:c>
      <x:c r="L25" t="str">
        <x:v>Not located in IGCEP</x:v>
      </x:c>
      <x:c r="M25" t="n">
        <x:v>118</x:v>
      </x:c>
      <x:c r="N25" t="n">
        <x:v>69</x:v>
      </x:c>
      <x:c r="O25"/>
    </x:row>
    <x:row r="26" ht="18" customHeight="1">
      <x:c r="A26" t="n">
        <x:v>23</x:v>
      </x:c>
      <x:c r="B26" t="str">
        <x:v>KE_New_Wind</x:v>
      </x:c>
      <x:c r="C26" t="str">
        <x:v>Wind</x:v>
      </x:c>
      <x:c r="D26" t="n">
        <x:v>2027</x:v>
      </x:c>
      <x:c r="E26" t="str">
        <x:v>Wind</x:v>
      </x:c>
      <x:c r="F26" t="str">
        <x:v>Optimised</x:v>
      </x:c>
      <x:c r="G26" t="str">
        <x:v>KE</x:v>
      </x:c>
      <x:c r="H26" s="20" t="n">
        <x:v>400</x:v>
      </x:c>
      <x:c r="I26" s="20" t="n">
        <x:v>400</x:v>
      </x:c>
      <x:c r="J26" t="str">
        <x:v>Jul-26</x:v>
      </x:c>
      <x:c r="K26" t="str">
        <x:v>Unspecified / distributed</x:v>
      </x:c>
      <x:c r="L26" t="str">
        <x:v>Not located in IGCEP</x:v>
      </x:c>
      <x:c r="M26" t="n">
        <x:v>118</x:v>
      </x:c>
      <x:c r="N26" t="n">
        <x:v>69</x:v>
      </x:c>
      <x:c r="O26"/>
    </x:row>
    <x:row r="27" ht="18" customHeight="1">
      <x:c r="A27" t="n">
        <x:v>24</x:v>
      </x:c>
      <x:c r="B27" t="str">
        <x:v>Dasu (U#2)</x:v>
      </x:c>
      <x:c r="C27" t="str">
        <x:v>Hydro</x:v>
      </x:c>
      <x:c r="D27" t="n">
        <x:v>2028</x:v>
      </x:c>
      <x:c r="E27" t="str">
        <x:v>Hydro</x:v>
      </x:c>
      <x:c r="F27" t="str">
        <x:v>Committed</x:v>
      </x:c>
      <x:c r="G27" t="str">
        <x:v>WAPDA</x:v>
      </x:c>
      <x:c r="H27" s="20" t="n">
        <x:v>360</x:v>
      </x:c>
      <x:c r="I27" s="20" t="n">
        <x:v>360</x:v>
      </x:c>
      <x:c r="J27" t="str">
        <x:v>Jul-27</x:v>
      </x:c>
      <x:c r="K27" t="str">
        <x:v>Khyber Pakhtunkhwa</x:v>
      </x:c>
      <x:c r="L27" t="str">
        <x:v>Site vicinity</x:v>
      </x:c>
      <x:c r="M27" t="n">
        <x:v>118</x:v>
      </x:c>
      <x:c r="N27" t="n">
        <x:v>69</x:v>
      </x:c>
      <x:c r="O27" t="str">
        <x:v>Dasu–Upper Kohistan</x:v>
      </x:c>
    </x:row>
    <x:row r="28" ht="18" customHeight="1">
      <x:c r="A28" t="n">
        <x:v>25</x:v>
      </x:c>
      <x:c r="B28" t="str">
        <x:v>CASA</x:v>
      </x:c>
      <x:c r="C28" t="str">
        <x:v>Hydro</x:v>
      </x:c>
      <x:c r="D28" t="n">
        <x:v>2028</x:v>
      </x:c>
      <x:c r="E28" t="str">
        <x:v>Hydro</x:v>
      </x:c>
      <x:c r="F28" t="str">
        <x:v>Committed</x:v>
      </x:c>
      <x:c r="G28" t="str">
        <x:v>NGC</x:v>
      </x:c>
      <x:c r="H28" s="20" t="n">
        <x:v>1000</x:v>
      </x:c>
      <x:c r="I28" s="20" t="n">
        <x:v>1000</x:v>
      </x:c>
      <x:c r="J28" t="str">
        <x:v>Aug-27</x:v>
      </x:c>
      <x:c r="K28" t="str">
        <x:v>Unspecified / distributed</x:v>
      </x:c>
      <x:c r="L28" t="str">
        <x:v>Not located in IGCEP</x:v>
      </x:c>
      <x:c r="M28" t="n">
        <x:v>119</x:v>
      </x:c>
      <x:c r="N28" t="n">
        <x:v>70</x:v>
      </x:c>
      <x:c r="O28"/>
    </x:row>
    <x:row r="29" ht="18" customHeight="1">
      <x:c r="A29" t="n">
        <x:v>26</x:v>
      </x:c>
      <x:c r="B29" t="str">
        <x:v>Dasu (U#3)</x:v>
      </x:c>
      <x:c r="C29" t="str">
        <x:v>Hydro</x:v>
      </x:c>
      <x:c r="D29" t="n">
        <x:v>2028</x:v>
      </x:c>
      <x:c r="E29" t="str">
        <x:v>Hydro</x:v>
      </x:c>
      <x:c r="F29" t="str">
        <x:v>Committed</x:v>
      </x:c>
      <x:c r="G29" t="str">
        <x:v>WAPDA</x:v>
      </x:c>
      <x:c r="H29" s="20" t="n">
        <x:v>360</x:v>
      </x:c>
      <x:c r="I29" s="20" t="n">
        <x:v>360</x:v>
      </x:c>
      <x:c r="J29" t="str">
        <x:v>Aug-27</x:v>
      </x:c>
      <x:c r="K29" t="str">
        <x:v>Khyber Pakhtunkhwa</x:v>
      </x:c>
      <x:c r="L29" t="str">
        <x:v>Site vicinity</x:v>
      </x:c>
      <x:c r="M29" t="n">
        <x:v>119</x:v>
      </x:c>
      <x:c r="N29" t="n">
        <x:v>70</x:v>
      </x:c>
      <x:c r="O29" t="str">
        <x:v>Dasu–Upper Kohistan</x:v>
      </x:c>
    </x:row>
    <x:row r="30" ht="18" customHeight="1">
      <x:c r="A30" t="n">
        <x:v>27</x:v>
      </x:c>
      <x:c r="B30" t="str">
        <x:v>Dasu (U#4)</x:v>
      </x:c>
      <x:c r="C30" t="str">
        <x:v>Hydro</x:v>
      </x:c>
      <x:c r="D30" t="n">
        <x:v>2028</x:v>
      </x:c>
      <x:c r="E30" t="str">
        <x:v>Hydro</x:v>
      </x:c>
      <x:c r="F30" t="str">
        <x:v>Committed</x:v>
      </x:c>
      <x:c r="G30" t="str">
        <x:v>WAPDA</x:v>
      </x:c>
      <x:c r="H30" s="20" t="n">
        <x:v>360</x:v>
      </x:c>
      <x:c r="I30" s="20" t="n">
        <x:v>360</x:v>
      </x:c>
      <x:c r="J30" t="str">
        <x:v>Nov-27</x:v>
      </x:c>
      <x:c r="K30" t="str">
        <x:v>Khyber Pakhtunkhwa</x:v>
      </x:c>
      <x:c r="L30" t="str">
        <x:v>Site vicinity</x:v>
      </x:c>
      <x:c r="M30" t="n">
        <x:v>119</x:v>
      </x:c>
      <x:c r="N30" t="n">
        <x:v>70</x:v>
      </x:c>
      <x:c r="O30" t="str">
        <x:v>Dasu–Upper Kohistan</x:v>
      </x:c>
    </x:row>
    <x:row r="31" ht="18" customHeight="1">
      <x:c r="A31" t="n">
        <x:v>28</x:v>
      </x:c>
      <x:c r="B31" t="str">
        <x:v>Mohmand Dam (U#1)</x:v>
      </x:c>
      <x:c r="C31" t="str">
        <x:v>Hydro</x:v>
      </x:c>
      <x:c r="D31" t="n">
        <x:v>2028</x:v>
      </x:c>
      <x:c r="E31" t="str">
        <x:v>Hydro</x:v>
      </x:c>
      <x:c r="F31" t="str">
        <x:v>Committed</x:v>
      </x:c>
      <x:c r="G31" t="str">
        <x:v>WAPDA</x:v>
      </x:c>
      <x:c r="H31" s="20" t="n">
        <x:v>200</x:v>
      </x:c>
      <x:c r="I31" s="20" t="n">
        <x:v>200</x:v>
      </x:c>
      <x:c r="J31" t="str">
        <x:v>Nov-27</x:v>
      </x:c>
      <x:c r="K31" t="str">
        <x:v>Khyber Pakhtunkhwa</x:v>
      </x:c>
      <x:c r="L31" t="str">
        <x:v>Site vicinity</x:v>
      </x:c>
      <x:c r="M31" t="n">
        <x:v>119</x:v>
      </x:c>
      <x:c r="N31" t="n">
        <x:v>70</x:v>
      </x:c>
      <x:c r="O31" t="str">
        <x:v>Mohmand Dam</x:v>
      </x:c>
    </x:row>
    <x:row r="32" ht="18" customHeight="1">
      <x:c r="A32" t="n">
        <x:v>29</x:v>
      </x:c>
      <x:c r="B32" t="str">
        <x:v>Balakot</x:v>
      </x:c>
      <x:c r="C32" t="str">
        <x:v>Hydro</x:v>
      </x:c>
      <x:c r="D32" t="n">
        <x:v>2028</x:v>
      </x:c>
      <x:c r="E32" t="str">
        <x:v>Hydro</x:v>
      </x:c>
      <x:c r="F32" t="str">
        <x:v>Committed</x:v>
      </x:c>
      <x:c r="G32" t="str">
        <x:v>GoKPK</x:v>
      </x:c>
      <x:c r="H32" s="20" t="n">
        <x:v>300</x:v>
      </x:c>
      <x:c r="I32" s="20" t="n">
        <x:v>300</x:v>
      </x:c>
      <x:c r="J32" t="str">
        <x:v>Dec-27</x:v>
      </x:c>
      <x:c r="K32" t="str">
        <x:v>Khyber Pakhtunkhwa</x:v>
      </x:c>
      <x:c r="L32" t="str">
        <x:v>Site vicinity</x:v>
      </x:c>
      <x:c r="M32" t="n">
        <x:v>119</x:v>
      </x:c>
      <x:c r="N32" t="n">
        <x:v>70</x:v>
      </x:c>
      <x:c r="O32" t="str">
        <x:v>Balakot</x:v>
      </x:c>
    </x:row>
    <x:row r="33" ht="18" customHeight="1">
      <x:c r="A33" t="n">
        <x:v>30</x:v>
      </x:c>
      <x:c r="B33" t="str">
        <x:v>Mohmand Dam (U#2)</x:v>
      </x:c>
      <x:c r="C33" t="str">
        <x:v>Hydro</x:v>
      </x:c>
      <x:c r="D33" t="n">
        <x:v>2028</x:v>
      </x:c>
      <x:c r="E33" t="str">
        <x:v>Hydro</x:v>
      </x:c>
      <x:c r="F33" t="str">
        <x:v>Committed</x:v>
      </x:c>
      <x:c r="G33" t="str">
        <x:v>WAPDA</x:v>
      </x:c>
      <x:c r="H33" s="20" t="n">
        <x:v>200</x:v>
      </x:c>
      <x:c r="I33" s="20" t="n">
        <x:v>200</x:v>
      </x:c>
      <x:c r="J33" t="str">
        <x:v>Dec-27</x:v>
      </x:c>
      <x:c r="K33" t="str">
        <x:v>Khyber Pakhtunkhwa</x:v>
      </x:c>
      <x:c r="L33" t="str">
        <x:v>Site vicinity</x:v>
      </x:c>
      <x:c r="M33" t="n">
        <x:v>119</x:v>
      </x:c>
      <x:c r="N33" t="n">
        <x:v>70</x:v>
      </x:c>
      <x:c r="O33" t="str">
        <x:v>Mohmand Dam</x:v>
      </x:c>
    </x:row>
    <x:row r="34" ht="18" customHeight="1">
      <x:c r="A34" t="n">
        <x:v>31</x:v>
      </x:c>
      <x:c r="B34" t="str">
        <x:v>Mohmand Dam (U#3)</x:v>
      </x:c>
      <x:c r="C34" t="str">
        <x:v>Hydro</x:v>
      </x:c>
      <x:c r="D34" t="n">
        <x:v>2028</x:v>
      </x:c>
      <x:c r="E34" t="str">
        <x:v>Hydro</x:v>
      </x:c>
      <x:c r="F34" t="str">
        <x:v>Committed</x:v>
      </x:c>
      <x:c r="G34" t="str">
        <x:v>WAPDA</x:v>
      </x:c>
      <x:c r="H34" s="20" t="n">
        <x:v>200</x:v>
      </x:c>
      <x:c r="I34" s="20" t="n">
        <x:v>200</x:v>
      </x:c>
      <x:c r="J34" t="str">
        <x:v>Jan-28</x:v>
      </x:c>
      <x:c r="K34" t="str">
        <x:v>Khyber Pakhtunkhwa</x:v>
      </x:c>
      <x:c r="L34" t="str">
        <x:v>Site vicinity</x:v>
      </x:c>
      <x:c r="M34" t="n">
        <x:v>119</x:v>
      </x:c>
      <x:c r="N34" t="n">
        <x:v>70</x:v>
      </x:c>
      <x:c r="O34" t="str">
        <x:v>Mohmand Dam</x:v>
      </x:c>
    </x:row>
    <x:row r="35" ht="18" customHeight="1">
      <x:c r="A35" t="n">
        <x:v>32</x:v>
      </x:c>
      <x:c r="B35" t="str">
        <x:v>Dasu (U#5)</x:v>
      </x:c>
      <x:c r="C35" t="str">
        <x:v>Hydro</x:v>
      </x:c>
      <x:c r="D35" t="n">
        <x:v>2028</x:v>
      </x:c>
      <x:c r="E35" t="str">
        <x:v>Hydro</x:v>
      </x:c>
      <x:c r="F35" t="str">
        <x:v>Committed</x:v>
      </x:c>
      <x:c r="G35" t="str">
        <x:v>WAPDA</x:v>
      </x:c>
      <x:c r="H35" s="20" t="n">
        <x:v>360</x:v>
      </x:c>
      <x:c r="I35" s="20" t="n">
        <x:v>360</x:v>
      </x:c>
      <x:c r="J35" t="str">
        <x:v>Feb-28</x:v>
      </x:c>
      <x:c r="K35" t="str">
        <x:v>Khyber Pakhtunkhwa</x:v>
      </x:c>
      <x:c r="L35" t="str">
        <x:v>Site vicinity</x:v>
      </x:c>
      <x:c r="M35" t="n">
        <x:v>119</x:v>
      </x:c>
      <x:c r="N35" t="n">
        <x:v>70</x:v>
      </x:c>
      <x:c r="O35" t="str">
        <x:v>Dasu–Upper Kohistan</x:v>
      </x:c>
    </x:row>
    <x:row r="36" ht="18" customHeight="1">
      <x:c r="A36" t="n">
        <x:v>33</x:v>
      </x:c>
      <x:c r="B36" t="str">
        <x:v>Mohmand Dam (U#4)</x:v>
      </x:c>
      <x:c r="C36" t="str">
        <x:v>Hydro</x:v>
      </x:c>
      <x:c r="D36" t="n">
        <x:v>2028</x:v>
      </x:c>
      <x:c r="E36" t="str">
        <x:v>Hydro</x:v>
      </x:c>
      <x:c r="F36" t="str">
        <x:v>Committed</x:v>
      </x:c>
      <x:c r="G36" t="str">
        <x:v>WAPDA</x:v>
      </x:c>
      <x:c r="H36" s="20" t="n">
        <x:v>200</x:v>
      </x:c>
      <x:c r="I36" s="20" t="n">
        <x:v>200</x:v>
      </x:c>
      <x:c r="J36" t="str">
        <x:v>Mar-28</x:v>
      </x:c>
      <x:c r="K36" t="str">
        <x:v>Khyber Pakhtunkhwa</x:v>
      </x:c>
      <x:c r="L36" t="str">
        <x:v>Site vicinity</x:v>
      </x:c>
      <x:c r="M36" t="n">
        <x:v>119</x:v>
      </x:c>
      <x:c r="N36" t="n">
        <x:v>70</x:v>
      </x:c>
      <x:c r="O36" t="str">
        <x:v>Mohmand Dam</x:v>
      </x:c>
    </x:row>
    <x:row r="37" ht="18" customHeight="1">
      <x:c r="A37" t="n">
        <x:v>34</x:v>
      </x:c>
      <x:c r="B37" t="str">
        <x:v>Dasu (U#6)</x:v>
      </x:c>
      <x:c r="C37" t="str">
        <x:v>Hydro</x:v>
      </x:c>
      <x:c r="D37" t="n">
        <x:v>2028</x:v>
      </x:c>
      <x:c r="E37" t="str">
        <x:v>Hydro</x:v>
      </x:c>
      <x:c r="F37" t="str">
        <x:v>Committed</x:v>
      </x:c>
      <x:c r="G37" t="str">
        <x:v>WAPDA</x:v>
      </x:c>
      <x:c r="H37" s="20" t="n">
        <x:v>360</x:v>
      </x:c>
      <x:c r="I37" s="20" t="n">
        <x:v>360</x:v>
      </x:c>
      <x:c r="J37" t="str">
        <x:v>May-28</x:v>
      </x:c>
      <x:c r="K37" t="str">
        <x:v>Khyber Pakhtunkhwa</x:v>
      </x:c>
      <x:c r="L37" t="str">
        <x:v>Site vicinity</x:v>
      </x:c>
      <x:c r="M37" t="n">
        <x:v>119</x:v>
      </x:c>
      <x:c r="N37" t="n">
        <x:v>70</x:v>
      </x:c>
      <x:c r="O37" t="str">
        <x:v>Dasu–Upper Kohistan</x:v>
      </x:c>
    </x:row>
    <x:row r="38" ht="18" customHeight="1">
      <x:c r="A38" t="n">
        <x:v>35</x:v>
      </x:c>
      <x:c r="B38" t="str">
        <x:v>Net Meter</x:v>
      </x:c>
      <x:c r="C38" t="str">
        <x:v>Solar PV</x:v>
      </x:c>
      <x:c r="D38" t="n">
        <x:v>2028</x:v>
      </x:c>
      <x:c r="E38" t="str">
        <x:v>PV</x:v>
      </x:c>
      <x:c r="F38" t="str">
        <x:v>Committed</x:v>
      </x:c>
      <x:c r="G38" t="str">
        <x:v>NGC</x:v>
      </x:c>
      <x:c r="H38" s="20" t="n">
        <x:v>800</x:v>
      </x:c>
      <x:c r="I38" s="20" t="n">
        <x:v>800</x:v>
      </x:c>
      <x:c r="J38" t="str">
        <x:v>Jul-27</x:v>
      </x:c>
      <x:c r="K38" t="str">
        <x:v>Unspecified / distributed</x:v>
      </x:c>
      <x:c r="L38" t="str">
        <x:v>Not located in IGCEP</x:v>
      </x:c>
      <x:c r="M38" t="n">
        <x:v>119</x:v>
      </x:c>
      <x:c r="N38" t="n">
        <x:v>70</x:v>
      </x:c>
      <x:c r="O38"/>
    </x:row>
    <x:row r="39" ht="18" customHeight="1">
      <x:c r="A39" t="n">
        <x:v>36</x:v>
      </x:c>
      <x:c r="B39" t="str">
        <x:v>PV_Market</x:v>
      </x:c>
      <x:c r="C39" t="str">
        <x:v>Solar PV</x:v>
      </x:c>
      <x:c r="D39" t="n">
        <x:v>2028</x:v>
      </x:c>
      <x:c r="E39" t="str">
        <x:v>PV</x:v>
      </x:c>
      <x:c r="F39" t="str">
        <x:v>Committed</x:v>
      </x:c>
      <x:c r="G39" t="str">
        <x:v>Market</x:v>
      </x:c>
      <x:c r="H39" s="20" t="n">
        <x:v>593.1</x:v>
      </x:c>
      <x:c r="I39" s="20" t="n">
        <x:v>593.1</x:v>
      </x:c>
      <x:c r="J39" t="str">
        <x:v>Jul-27</x:v>
      </x:c>
      <x:c r="K39" t="str">
        <x:v>Unspecified / distributed</x:v>
      </x:c>
      <x:c r="L39" t="str">
        <x:v>Not located in IGCEP</x:v>
      </x:c>
      <x:c r="M39" t="n">
        <x:v>119</x:v>
      </x:c>
      <x:c r="N39" t="n">
        <x:v>70</x:v>
      </x:c>
      <x:c r="O39"/>
    </x:row>
    <x:row r="40" ht="18" customHeight="1">
      <x:c r="A40" t="n">
        <x:v>37</x:v>
      </x:c>
      <x:c r="B40" t="str">
        <x:v>Wind_Market</x:v>
      </x:c>
      <x:c r="C40" t="str">
        <x:v>Wind</x:v>
      </x:c>
      <x:c r="D40" t="n">
        <x:v>2028</x:v>
      </x:c>
      <x:c r="E40" t="str">
        <x:v>Wind</x:v>
      </x:c>
      <x:c r="F40" t="str">
        <x:v>Committed</x:v>
      </x:c>
      <x:c r="G40" t="str">
        <x:v>Market</x:v>
      </x:c>
      <x:c r="H40" s="20" t="n">
        <x:v>96.6</x:v>
      </x:c>
      <x:c r="I40" s="20" t="n">
        <x:v>96.6</x:v>
      </x:c>
      <x:c r="J40" t="str">
        <x:v>Jul-27</x:v>
      </x:c>
      <x:c r="K40" t="str">
        <x:v>Unspecified / distributed</x:v>
      </x:c>
      <x:c r="L40" t="str">
        <x:v>Not located in IGCEP</x:v>
      </x:c>
      <x:c r="M40" t="n">
        <x:v>119</x:v>
      </x:c>
      <x:c r="N40" t="n">
        <x:v>70</x:v>
      </x:c>
      <x:c r="O40"/>
    </x:row>
    <x:row r="41" ht="18" customHeight="1">
      <x:c r="A41" t="n">
        <x:v>38</x:v>
      </x:c>
      <x:c r="B41" t="str">
        <x:v>KE_New_Wind</x:v>
      </x:c>
      <x:c r="C41" t="str">
        <x:v>Wind</x:v>
      </x:c>
      <x:c r="D41" t="n">
        <x:v>2028</x:v>
      </x:c>
      <x:c r="E41" t="str">
        <x:v>Wind</x:v>
      </x:c>
      <x:c r="F41" t="str">
        <x:v>Optimised</x:v>
      </x:c>
      <x:c r="G41" t="str">
        <x:v>KE</x:v>
      </x:c>
      <x:c r="H41" s="20" t="n">
        <x:v>100</x:v>
      </x:c>
      <x:c r="I41" s="20" t="n">
        <x:v>100</x:v>
      </x:c>
      <x:c r="J41" t="str">
        <x:v>Jul-27</x:v>
      </x:c>
      <x:c r="K41" t="str">
        <x:v>Unspecified / distributed</x:v>
      </x:c>
      <x:c r="L41" t="str">
        <x:v>Not located in IGCEP</x:v>
      </x:c>
      <x:c r="M41" t="n">
        <x:v>119</x:v>
      </x:c>
      <x:c r="N41" t="n">
        <x:v>70</x:v>
      </x:c>
      <x:c r="O41"/>
    </x:row>
    <x:row r="42" ht="18" customHeight="1">
      <x:c r="A42" t="n">
        <x:v>39</x:v>
      </x:c>
      <x:c r="B42" t="str">
        <x:v>Mangla Refurshbiment (U#7&amp;8)</x:v>
      </x:c>
      <x:c r="C42" t="str">
        <x:v>Hydro</x:v>
      </x:c>
      <x:c r="D42" t="n">
        <x:v>2029</x:v>
      </x:c>
      <x:c r="E42" t="str">
        <x:v>Hydro</x:v>
      </x:c>
      <x:c r="F42" t="str">
        <x:v>Committed</x:v>
      </x:c>
      <x:c r="G42" t="str">
        <x:v>WAPDA</x:v>
      </x:c>
      <x:c r="H42" s="20" t="n">
        <x:v>30</x:v>
      </x:c>
      <x:c r="I42" s="20" t="n">
        <x:v>30</x:v>
      </x:c>
      <x:c r="J42" t="str">
        <x:v>Aug-28</x:v>
      </x:c>
      <x:c r="K42" t="str">
        <x:v>Azad Jammu &amp; Kashmir</x:v>
      </x:c>
      <x:c r="L42" t="str">
        <x:v>Site vicinity</x:v>
      </x:c>
      <x:c r="M42" t="n">
        <x:v>119</x:v>
      </x:c>
      <x:c r="N42" t="n">
        <x:v>70</x:v>
      </x:c>
      <x:c r="O42" t="str">
        <x:v>Mangla–Mirpur</x:v>
      </x:c>
    </x:row>
    <x:row r="43" ht="18" customHeight="1">
      <x:c r="A43" t="n">
        <x:v>40</x:v>
      </x:c>
      <x:c r="B43" t="str">
        <x:v>Net Meter</x:v>
      </x:c>
      <x:c r="C43" t="str">
        <x:v>Solar PV</x:v>
      </x:c>
      <x:c r="D43" t="n">
        <x:v>2029</x:v>
      </x:c>
      <x:c r="E43" t="str">
        <x:v>PV</x:v>
      </x:c>
      <x:c r="F43" t="str">
        <x:v>Committed</x:v>
      </x:c>
      <x:c r="G43" t="str">
        <x:v>NGC</x:v>
      </x:c>
      <x:c r="H43" s="20" t="n">
        <x:v>700</x:v>
      </x:c>
      <x:c r="I43" s="20" t="n">
        <x:v>700</x:v>
      </x:c>
      <x:c r="J43" t="str">
        <x:v>Jul-28</x:v>
      </x:c>
      <x:c r="K43" t="str">
        <x:v>Unspecified / distributed</x:v>
      </x:c>
      <x:c r="L43" t="str">
        <x:v>Not located in IGCEP</x:v>
      </x:c>
      <x:c r="M43" t="n">
        <x:v>119</x:v>
      </x:c>
      <x:c r="N43" t="n">
        <x:v>70</x:v>
      </x:c>
      <x:c r="O43"/>
    </x:row>
    <x:row r="44" ht="18" customHeight="1">
      <x:c r="A44" t="n">
        <x:v>41</x:v>
      </x:c>
      <x:c r="B44" t="str">
        <x:v>PV_Market</x:v>
      </x:c>
      <x:c r="C44" t="str">
        <x:v>Solar PV</x:v>
      </x:c>
      <x:c r="D44" t="n">
        <x:v>2029</x:v>
      </x:c>
      <x:c r="E44" t="str">
        <x:v>PV</x:v>
      </x:c>
      <x:c r="F44" t="str">
        <x:v>Committed</x:v>
      </x:c>
      <x:c r="G44" t="str">
        <x:v>Market</x:v>
      </x:c>
      <x:c r="H44" s="20" t="n">
        <x:v>593</x:v>
      </x:c>
      <x:c r="I44" s="20" t="n">
        <x:v>593</x:v>
      </x:c>
      <x:c r="J44" t="str">
        <x:v>Jul-28</x:v>
      </x:c>
      <x:c r="K44" t="str">
        <x:v>Unspecified / distributed</x:v>
      </x:c>
      <x:c r="L44" t="str">
        <x:v>Not located in IGCEP</x:v>
      </x:c>
      <x:c r="M44" t="n">
        <x:v>119</x:v>
      </x:c>
      <x:c r="N44" t="n">
        <x:v>70</x:v>
      </x:c>
      <x:c r="O44"/>
    </x:row>
    <x:row r="45" ht="18" customHeight="1">
      <x:c r="A45" t="n">
        <x:v>42</x:v>
      </x:c>
      <x:c r="B45" t="str">
        <x:v>Wind_Market</x:v>
      </x:c>
      <x:c r="C45" t="str">
        <x:v>Wind</x:v>
      </x:c>
      <x:c r="D45" t="n">
        <x:v>2029</x:v>
      </x:c>
      <x:c r="E45" t="str">
        <x:v>Wind</x:v>
      </x:c>
      <x:c r="F45" t="str">
        <x:v>Committed</x:v>
      </x:c>
      <x:c r="G45" t="str">
        <x:v>Market</x:v>
      </x:c>
      <x:c r="H45" s="20" t="n">
        <x:v>96.7</x:v>
      </x:c>
      <x:c r="I45" s="20" t="n">
        <x:v>96.7</x:v>
      </x:c>
      <x:c r="J45" t="str">
        <x:v>Jul-28</x:v>
      </x:c>
      <x:c r="K45" t="str">
        <x:v>Unspecified / distributed</x:v>
      </x:c>
      <x:c r="L45" t="str">
        <x:v>Not located in IGCEP</x:v>
      </x:c>
      <x:c r="M45" t="n">
        <x:v>119</x:v>
      </x:c>
      <x:c r="N45" t="n">
        <x:v>70</x:v>
      </x:c>
      <x:c r="O45"/>
    </x:row>
    <x:row r="46" ht="18" customHeight="1">
      <x:c r="A46" t="n">
        <x:v>43</x:v>
      </x:c>
      <x:c r="B46" t="str">
        <x:v>Net Meter</x:v>
      </x:c>
      <x:c r="C46" t="str">
        <x:v>Solar PV</x:v>
      </x:c>
      <x:c r="D46" t="n">
        <x:v>2030</x:v>
      </x:c>
      <x:c r="E46" t="str">
        <x:v>PV</x:v>
      </x:c>
      <x:c r="F46" t="str">
        <x:v>Committed</x:v>
      </x:c>
      <x:c r="G46" t="str">
        <x:v>NGC</x:v>
      </x:c>
      <x:c r="H46" s="20" t="n">
        <x:v>600</x:v>
      </x:c>
      <x:c r="I46" s="20" t="n">
        <x:v>600</x:v>
      </x:c>
      <x:c r="J46" t="str">
        <x:v>Jul-29</x:v>
      </x:c>
      <x:c r="K46" t="str">
        <x:v>Unspecified / distributed</x:v>
      </x:c>
      <x:c r="L46" t="str">
        <x:v>Not located in IGCEP</x:v>
      </x:c>
      <x:c r="M46" t="n">
        <x:v>119</x:v>
      </x:c>
      <x:c r="N46" t="n">
        <x:v>70</x:v>
      </x:c>
      <x:c r="O46"/>
    </x:row>
    <x:row r="47" ht="18" customHeight="1">
      <x:c r="A47" t="n">
        <x:v>44</x:v>
      </x:c>
      <x:c r="B47" t="str">
        <x:v>PV_Market</x:v>
      </x:c>
      <x:c r="C47" t="str">
        <x:v>Solar PV</x:v>
      </x:c>
      <x:c r="D47" t="n">
        <x:v>2030</x:v>
      </x:c>
      <x:c r="E47" t="str">
        <x:v>PV</x:v>
      </x:c>
      <x:c r="F47" t="str">
        <x:v>Committed</x:v>
      </x:c>
      <x:c r="G47" t="str">
        <x:v>Market</x:v>
      </x:c>
      <x:c r="H47" s="20" t="n">
        <x:v>593.1</x:v>
      </x:c>
      <x:c r="I47" s="20" t="n">
        <x:v>593.1</x:v>
      </x:c>
      <x:c r="J47" t="str">
        <x:v>Jul-29</x:v>
      </x:c>
      <x:c r="K47" t="str">
        <x:v>Unspecified / distributed</x:v>
      </x:c>
      <x:c r="L47" t="str">
        <x:v>Not located in IGCEP</x:v>
      </x:c>
      <x:c r="M47" t="n">
        <x:v>119</x:v>
      </x:c>
      <x:c r="N47" t="n">
        <x:v>70</x:v>
      </x:c>
      <x:c r="O47"/>
    </x:row>
    <x:row r="48" ht="18" customHeight="1">
      <x:c r="A48" t="n">
        <x:v>45</x:v>
      </x:c>
      <x:c r="B48" t="str">
        <x:v>Wind_Market</x:v>
      </x:c>
      <x:c r="C48" t="str">
        <x:v>Wind</x:v>
      </x:c>
      <x:c r="D48" t="n">
        <x:v>2030</x:v>
      </x:c>
      <x:c r="E48" t="str">
        <x:v>Wind</x:v>
      </x:c>
      <x:c r="F48" t="str">
        <x:v>Committed</x:v>
      </x:c>
      <x:c r="G48" t="str">
        <x:v>Market</x:v>
      </x:c>
      <x:c r="H48" s="20" t="n">
        <x:v>96.6</x:v>
      </x:c>
      <x:c r="I48" s="20" t="n">
        <x:v>96.6</x:v>
      </x:c>
      <x:c r="J48" t="str">
        <x:v>Jul-29</x:v>
      </x:c>
      <x:c r="K48" t="str">
        <x:v>Unspecified / distributed</x:v>
      </x:c>
      <x:c r="L48" t="str">
        <x:v>Not located in IGCEP</x:v>
      </x:c>
      <x:c r="M48" t="n">
        <x:v>119</x:v>
      </x:c>
      <x:c r="N48" t="n">
        <x:v>70</x:v>
      </x:c>
      <x:c r="O48"/>
    </x:row>
    <x:row r="49" ht="18" customHeight="1">
      <x:c r="A49" t="n">
        <x:v>46</x:v>
      </x:c>
      <x:c r="B49" t="str">
        <x:v>KE_New_Wind</x:v>
      </x:c>
      <x:c r="C49" t="str">
        <x:v>Wind</x:v>
      </x:c>
      <x:c r="D49" t="n">
        <x:v>2030</x:v>
      </x:c>
      <x:c r="E49" t="str">
        <x:v>Wind</x:v>
      </x:c>
      <x:c r="F49" t="str">
        <x:v>Optimised</x:v>
      </x:c>
      <x:c r="G49" t="str">
        <x:v>KE</x:v>
      </x:c>
      <x:c r="H49" s="20" t="n">
        <x:v>144</x:v>
      </x:c>
      <x:c r="I49" s="20" t="n">
        <x:v>144</x:v>
      </x:c>
      <x:c r="J49" t="str">
        <x:v>Jul-29</x:v>
      </x:c>
      <x:c r="K49" t="str">
        <x:v>Unspecified / distributed</x:v>
      </x:c>
      <x:c r="L49" t="str">
        <x:v>Not located in IGCEP</x:v>
      </x:c>
      <x:c r="M49" t="n">
        <x:v>119</x:v>
      </x:c>
      <x:c r="N49" t="n">
        <x:v>70</x:v>
      </x:c>
      <x:c r="O49"/>
    </x:row>
    <x:row r="50" ht="18" customHeight="1">
      <x:c r="A50" t="n">
        <x:v>47</x:v>
      </x:c>
      <x:c r="B50" t="str">
        <x:v>Net Meter</x:v>
      </x:c>
      <x:c r="C50" t="str">
        <x:v>Solar PV</x:v>
      </x:c>
      <x:c r="D50" t="n">
        <x:v>2031</x:v>
      </x:c>
      <x:c r="E50" t="str">
        <x:v>PV</x:v>
      </x:c>
      <x:c r="F50" t="str">
        <x:v>Committed</x:v>
      </x:c>
      <x:c r="G50" t="str">
        <x:v>NGC</x:v>
      </x:c>
      <x:c r="H50" s="20" t="n">
        <x:v>500</x:v>
      </x:c>
      <x:c r="I50" s="20" t="n">
        <x:v>500</x:v>
      </x:c>
      <x:c r="J50" t="str">
        <x:v>Jul-30</x:v>
      </x:c>
      <x:c r="K50" t="str">
        <x:v>Unspecified / distributed</x:v>
      </x:c>
      <x:c r="L50" t="str">
        <x:v>Not located in IGCEP</x:v>
      </x:c>
      <x:c r="M50" t="n">
        <x:v>119</x:v>
      </x:c>
      <x:c r="N50" t="n">
        <x:v>70</x:v>
      </x:c>
      <x:c r="O50"/>
    </x:row>
    <x:row r="51" ht="18" customHeight="1">
      <x:c r="A51" t="n">
        <x:v>48</x:v>
      </x:c>
      <x:c r="B51" t="str">
        <x:v>PV_Market</x:v>
      </x:c>
      <x:c r="C51" t="str">
        <x:v>Solar PV</x:v>
      </x:c>
      <x:c r="D51" t="n">
        <x:v>2031</x:v>
      </x:c>
      <x:c r="E51" t="str">
        <x:v>PV</x:v>
      </x:c>
      <x:c r="F51" t="str">
        <x:v>Committed</x:v>
      </x:c>
      <x:c r="G51" t="str">
        <x:v>Market</x:v>
      </x:c>
      <x:c r="H51" s="20" t="n">
        <x:v>593.1</x:v>
      </x:c>
      <x:c r="I51" s="20" t="n">
        <x:v>593.1</x:v>
      </x:c>
      <x:c r="J51" t="str">
        <x:v>Jul-30</x:v>
      </x:c>
      <x:c r="K51" t="str">
        <x:v>Unspecified / distributed</x:v>
      </x:c>
      <x:c r="L51" t="str">
        <x:v>Not located in IGCEP</x:v>
      </x:c>
      <x:c r="M51" t="n">
        <x:v>119</x:v>
      </x:c>
      <x:c r="N51" t="n">
        <x:v>70</x:v>
      </x:c>
      <x:c r="O51"/>
    </x:row>
    <x:row r="52" ht="18" customHeight="1">
      <x:c r="A52" t="n">
        <x:v>49</x:v>
      </x:c>
      <x:c r="B52" t="str">
        <x:v>Wind_Market</x:v>
      </x:c>
      <x:c r="C52" t="str">
        <x:v>Wind</x:v>
      </x:c>
      <x:c r="D52" t="n">
        <x:v>2031</x:v>
      </x:c>
      <x:c r="E52" t="str">
        <x:v>Wind</x:v>
      </x:c>
      <x:c r="F52" t="str">
        <x:v>Committed</x:v>
      </x:c>
      <x:c r="G52" t="str">
        <x:v>Market</x:v>
      </x:c>
      <x:c r="H52" s="20" t="n">
        <x:v>96.7</x:v>
      </x:c>
      <x:c r="I52" s="20" t="n">
        <x:v>96.7</x:v>
      </x:c>
      <x:c r="J52" t="str">
        <x:v>Jul-30</x:v>
      </x:c>
      <x:c r="K52" t="str">
        <x:v>Unspecified / distributed</x:v>
      </x:c>
      <x:c r="L52" t="str">
        <x:v>Not located in IGCEP</x:v>
      </x:c>
      <x:c r="M52" t="n">
        <x:v>119</x:v>
      </x:c>
      <x:c r="N52" t="n">
        <x:v>70</x:v>
      </x:c>
      <x:c r="O52"/>
    </x:row>
    <x:row r="53" ht="18" customHeight="1">
      <x:c r="A53" t="n">
        <x:v>50</x:v>
      </x:c>
      <x:c r="B53" t="str">
        <x:v>KE_New_Wind</x:v>
      </x:c>
      <x:c r="C53" t="str">
        <x:v>Wind</x:v>
      </x:c>
      <x:c r="D53" t="n">
        <x:v>2031</x:v>
      </x:c>
      <x:c r="E53" t="str">
        <x:v>Wind</x:v>
      </x:c>
      <x:c r="F53" t="str">
        <x:v>Optimised</x:v>
      </x:c>
      <x:c r="G53" t="str">
        <x:v>KE</x:v>
      </x:c>
      <x:c r="H53" s="20" t="n">
        <x:v>156</x:v>
      </x:c>
      <x:c r="I53" s="20" t="n">
        <x:v>156</x:v>
      </x:c>
      <x:c r="J53" t="str">
        <x:v>Jul-30</x:v>
      </x:c>
      <x:c r="K53" t="str">
        <x:v>Unspecified / distributed</x:v>
      </x:c>
      <x:c r="L53" t="str">
        <x:v>Not located in IGCEP</x:v>
      </x:c>
      <x:c r="M53" t="n">
        <x:v>119</x:v>
      </x:c>
      <x:c r="N53" t="n">
        <x:v>70</x:v>
      </x:c>
      <x:c r="O53"/>
    </x:row>
    <x:row r="54" ht="18" customHeight="1">
      <x:c r="A54" t="n">
        <x:v>51</x:v>
      </x:c>
      <x:c r="B54" t="str">
        <x:v>New_Wind</x:v>
      </x:c>
      <x:c r="C54" t="str">
        <x:v>Wind</x:v>
      </x:c>
      <x:c r="D54" t="n">
        <x:v>2031</x:v>
      </x:c>
      <x:c r="E54" t="str">
        <x:v>Wind</x:v>
      </x:c>
      <x:c r="F54" t="str">
        <x:v>Optimised</x:v>
      </x:c>
      <x:c r="G54" t="str">
        <x:v>NGC</x:v>
      </x:c>
      <x:c r="H54" s="20" t="n">
        <x:v>30</x:v>
      </x:c>
      <x:c r="I54" s="20" t="n">
        <x:v>30</x:v>
      </x:c>
      <x:c r="J54" t="str">
        <x:v>Jul-30</x:v>
      </x:c>
      <x:c r="K54" t="str">
        <x:v>Unspecified / distributed</x:v>
      </x:c>
      <x:c r="L54" t="str">
        <x:v>Not located in IGCEP</x:v>
      </x:c>
      <x:c r="M54" t="n">
        <x:v>119</x:v>
      </x:c>
      <x:c r="N54" t="n">
        <x:v>70</x:v>
      </x:c>
      <x:c r="O54"/>
    </x:row>
    <x:row r="55" ht="18" customHeight="1">
      <x:c r="A55" t="n">
        <x:v>52</x:v>
      </x:c>
      <x:c r="B55" t="str">
        <x:v>Net Meter</x:v>
      </x:c>
      <x:c r="C55" t="str">
        <x:v>Solar PV</x:v>
      </x:c>
      <x:c r="D55" t="n">
        <x:v>2032</x:v>
      </x:c>
      <x:c r="E55" t="str">
        <x:v>PV</x:v>
      </x:c>
      <x:c r="F55" t="str">
        <x:v>Committed</x:v>
      </x:c>
      <x:c r="G55" t="str">
        <x:v>NGC</x:v>
      </x:c>
      <x:c r="H55" s="20" t="n">
        <x:v>400</x:v>
      </x:c>
      <x:c r="I55" s="20" t="n">
        <x:v>400</x:v>
      </x:c>
      <x:c r="J55" t="str">
        <x:v>Jul-31</x:v>
      </x:c>
      <x:c r="K55" t="str">
        <x:v>Unspecified / distributed</x:v>
      </x:c>
      <x:c r="L55" t="str">
        <x:v>Not located in IGCEP</x:v>
      </x:c>
      <x:c r="M55" t="n">
        <x:v>120</x:v>
      </x:c>
      <x:c r="N55" t="n">
        <x:v>71</x:v>
      </x:c>
      <x:c r="O55"/>
    </x:row>
    <x:row r="56" ht="18" customHeight="1">
      <x:c r="A56" t="n">
        <x:v>53</x:v>
      </x:c>
      <x:c r="B56" t="str">
        <x:v>C-5</x:v>
      </x:c>
      <x:c r="C56" t="str">
        <x:v>Nuclear</x:v>
      </x:c>
      <x:c r="D56" t="n">
        <x:v>2032</x:v>
      </x:c>
      <x:c r="E56" t="str">
        <x:v>Nuclear</x:v>
      </x:c>
      <x:c r="F56" t="str">
        <x:v>Optimised</x:v>
      </x:c>
      <x:c r="G56" t="str">
        <x:v>PAEC</x:v>
      </x:c>
      <x:c r="H56" s="20" t="n">
        <x:v>1200</x:v>
      </x:c>
      <x:c r="I56" s="20" t="n">
        <x:v>1117</x:v>
      </x:c>
      <x:c r="J56" t="str">
        <x:v>Jul-31</x:v>
      </x:c>
      <x:c r="K56" t="str">
        <x:v>Punjab</x:v>
      </x:c>
      <x:c r="L56" t="str">
        <x:v>Site vicinity</x:v>
      </x:c>
      <x:c r="M56" t="n">
        <x:v>120</x:v>
      </x:c>
      <x:c r="N56" t="n">
        <x:v>71</x:v>
      </x:c>
      <x:c r="O56" t="str">
        <x:v>Chashma–Mianwali</x:v>
      </x:c>
    </x:row>
    <x:row r="57" ht="18" customHeight="1">
      <x:c r="A57" t="n">
        <x:v>54</x:v>
      </x:c>
      <x:c r="B57" t="str">
        <x:v>KE_New_Wind</x:v>
      </x:c>
      <x:c r="C57" t="str">
        <x:v>Wind</x:v>
      </x:c>
      <x:c r="D57" t="n">
        <x:v>2032</x:v>
      </x:c>
      <x:c r="E57" t="str">
        <x:v>Wind</x:v>
      </x:c>
      <x:c r="F57" t="str">
        <x:v>Optimised</x:v>
      </x:c>
      <x:c r="G57" t="str">
        <x:v>KE</x:v>
      </x:c>
      <x:c r="H57" s="20" t="n">
        <x:v>100</x:v>
      </x:c>
      <x:c r="I57" s="20" t="n">
        <x:v>100</x:v>
      </x:c>
      <x:c r="J57" t="str">
        <x:v>Jul-31</x:v>
      </x:c>
      <x:c r="K57" t="str">
        <x:v>Unspecified / distributed</x:v>
      </x:c>
      <x:c r="L57" t="str">
        <x:v>Not located in IGCEP</x:v>
      </x:c>
      <x:c r="M57" t="n">
        <x:v>120</x:v>
      </x:c>
      <x:c r="N57" t="n">
        <x:v>71</x:v>
      </x:c>
      <x:c r="O57"/>
    </x:row>
    <x:row r="58" ht="18" customHeight="1">
      <x:c r="A58" t="n">
        <x:v>55</x:v>
      </x:c>
      <x:c r="B58" t="str">
        <x:v>Net Meter</x:v>
      </x:c>
      <x:c r="C58" t="str">
        <x:v>Solar PV</x:v>
      </x:c>
      <x:c r="D58" t="n">
        <x:v>2033</x:v>
      </x:c>
      <x:c r="E58" t="str">
        <x:v>PV</x:v>
      </x:c>
      <x:c r="F58" t="str">
        <x:v>Committed</x:v>
      </x:c>
      <x:c r="G58" t="str">
        <x:v>NGC</x:v>
      </x:c>
      <x:c r="H58" s="20" t="n">
        <x:v>300</x:v>
      </x:c>
      <x:c r="I58" s="20" t="n">
        <x:v>300</x:v>
      </x:c>
      <x:c r="J58" t="str">
        <x:v>Jul-32</x:v>
      </x:c>
      <x:c r="K58" t="str">
        <x:v>Unspecified / distributed</x:v>
      </x:c>
      <x:c r="L58" t="str">
        <x:v>Not located in IGCEP</x:v>
      </x:c>
      <x:c r="M58" t="n">
        <x:v>120</x:v>
      </x:c>
      <x:c r="N58" t="n">
        <x:v>71</x:v>
      </x:c>
      <x:c r="O58"/>
    </x:row>
    <x:row r="59" ht="18" customHeight="1">
      <x:c r="A59" t="n">
        <x:v>56</x:v>
      </x:c>
      <x:c r="B59" t="str">
        <x:v>Diamer Bhasha (U#1-4)</x:v>
      </x:c>
      <x:c r="C59" t="str">
        <x:v>Hydro</x:v>
      </x:c>
      <x:c r="D59" t="n">
        <x:v>2033</x:v>
      </x:c>
      <x:c r="E59" t="str">
        <x:v>Hydro</x:v>
      </x:c>
      <x:c r="F59" t="str">
        <x:v>Optimised</x:v>
      </x:c>
      <x:c r="G59" t="str">
        <x:v>WAPDA</x:v>
      </x:c>
      <x:c r="H59" s="20" t="n">
        <x:v>1500</x:v>
      </x:c>
      <x:c r="I59" s="20" t="n">
        <x:v>1500</x:v>
      </x:c>
      <x:c r="J59" t="str">
        <x:v>Jul-32</x:v>
      </x:c>
      <x:c r="K59" t="str">
        <x:v>Gilgit-Baltistan</x:v>
      </x:c>
      <x:c r="L59" t="str">
        <x:v>Site vicinity</x:v>
      </x:c>
      <x:c r="M59" t="n">
        <x:v>120</x:v>
      </x:c>
      <x:c r="N59" t="n">
        <x:v>71</x:v>
      </x:c>
      <x:c r="O59" t="str">
        <x:v>Diamer Bhasha dam (GB/KP border)</x:v>
      </x:c>
    </x:row>
    <x:row r="60" ht="18" customHeight="1">
      <x:c r="A60" t="n">
        <x:v>57</x:v>
      </x:c>
      <x:c r="B60" t="str">
        <x:v>Batdara</x:v>
      </x:c>
      <x:c r="C60" t="str">
        <x:v>Hydro</x:v>
      </x:c>
      <x:c r="D60" t="n">
        <x:v>2033</x:v>
      </x:c>
      <x:c r="E60" t="str">
        <x:v>Hydro</x:v>
      </x:c>
      <x:c r="F60" t="str">
        <x:v>Optimised</x:v>
      </x:c>
      <x:c r="G60" t="str">
        <x:v>AJK-HEB</x:v>
      </x:c>
      <x:c r="H60" s="20" t="n">
        <x:v>5.2</x:v>
      </x:c>
      <x:c r="I60" s="20" t="n">
        <x:v>5.2</x:v>
      </x:c>
      <x:c r="J60" t="str">
        <x:v>Jul-32</x:v>
      </x:c>
      <x:c r="K60" t="str">
        <x:v>Azad Jammu &amp; Kashmir</x:v>
      </x:c>
      <x:c r="L60" t="str">
        <x:v>Regional locality</x:v>
      </x:c>
      <x:c r="M60" t="n">
        <x:v>120</x:v>
      </x:c>
      <x:c r="N60" t="n">
        <x:v>71</x:v>
      </x:c>
      <x:c r="O60" t="str">
        <x:v>Batdara–Muzaffarabad</x:v>
      </x:c>
    </x:row>
    <x:row r="61" ht="18" customHeight="1">
      <x:c r="A61" t="n">
        <x:v>58</x:v>
      </x:c>
      <x:c r="B61" t="str">
        <x:v>KE_New_Wind</x:v>
      </x:c>
      <x:c r="C61" t="str">
        <x:v>Wind</x:v>
      </x:c>
      <x:c r="D61" t="n">
        <x:v>2033</x:v>
      </x:c>
      <x:c r="E61" t="str">
        <x:v>Wind</x:v>
      </x:c>
      <x:c r="F61" t="str">
        <x:v>Optimised</x:v>
      </x:c>
      <x:c r="G61" t="str">
        <x:v>KE</x:v>
      </x:c>
      <x:c r="H61" s="20" t="n">
        <x:v>100</x:v>
      </x:c>
      <x:c r="I61" s="20" t="n">
        <x:v>100</x:v>
      </x:c>
      <x:c r="J61" t="str">
        <x:v>Jul-32</x:v>
      </x:c>
      <x:c r="K61" t="str">
        <x:v>Unspecified / distributed</x:v>
      </x:c>
      <x:c r="L61" t="str">
        <x:v>Not located in IGCEP</x:v>
      </x:c>
      <x:c r="M61" t="n">
        <x:v>120</x:v>
      </x:c>
      <x:c r="N61" t="n">
        <x:v>71</x:v>
      </x:c>
      <x:c r="O61"/>
    </x:row>
    <x:row r="62" ht="18" customHeight="1">
      <x:c r="A62" t="n">
        <x:v>59</x:v>
      </x:c>
      <x:c r="B62" t="str">
        <x:v>New_Wind</x:v>
      </x:c>
      <x:c r="C62" t="str">
        <x:v>Wind</x:v>
      </x:c>
      <x:c r="D62" t="n">
        <x:v>2033</x:v>
      </x:c>
      <x:c r="E62" t="str">
        <x:v>Wind</x:v>
      </x:c>
      <x:c r="F62" t="str">
        <x:v>Optimised</x:v>
      </x:c>
      <x:c r="G62" t="str">
        <x:v>NGC</x:v>
      </x:c>
      <x:c r="H62" s="20" t="n">
        <x:v>1625</x:v>
      </x:c>
      <x:c r="I62" s="20" t="n">
        <x:v>1625</x:v>
      </x:c>
      <x:c r="J62" t="str">
        <x:v>Jul-32</x:v>
      </x:c>
      <x:c r="K62" t="str">
        <x:v>Unspecified / distributed</x:v>
      </x:c>
      <x:c r="L62" t="str">
        <x:v>Not located in IGCEP</x:v>
      </x:c>
      <x:c r="M62" t="n">
        <x:v>120</x:v>
      </x:c>
      <x:c r="N62" t="n">
        <x:v>71</x:v>
      </x:c>
      <x:c r="O62"/>
    </x:row>
    <x:row r="63" ht="18" customHeight="1">
      <x:c r="A63" t="n">
        <x:v>60</x:v>
      </x:c>
      <x:c r="B63" t="str">
        <x:v>Net Meter</x:v>
      </x:c>
      <x:c r="C63" t="str">
        <x:v>Solar PV</x:v>
      </x:c>
      <x:c r="D63" t="n">
        <x:v>2034</x:v>
      </x:c>
      <x:c r="E63" t="str">
        <x:v>PV</x:v>
      </x:c>
      <x:c r="F63" t="str">
        <x:v>Committed</x:v>
      </x:c>
      <x:c r="G63" t="str">
        <x:v>NGC</x:v>
      </x:c>
      <x:c r="H63" s="20" t="n">
        <x:v>200</x:v>
      </x:c>
      <x:c r="I63" s="20" t="n">
        <x:v>200</x:v>
      </x:c>
      <x:c r="J63" t="str">
        <x:v>Jul-33</x:v>
      </x:c>
      <x:c r="K63" t="str">
        <x:v>Unspecified / distributed</x:v>
      </x:c>
      <x:c r="L63" t="str">
        <x:v>Not located in IGCEP</x:v>
      </x:c>
      <x:c r="M63" t="n">
        <x:v>120</x:v>
      </x:c>
      <x:c r="N63" t="n">
        <x:v>71</x:v>
      </x:c>
      <x:c r="O63"/>
    </x:row>
    <x:row r="64" ht="18" customHeight="1">
      <x:c r="A64" t="n">
        <x:v>61</x:v>
      </x:c>
      <x:c r="B64" t="str">
        <x:v>Diamer Bhasha (U#5-8)</x:v>
      </x:c>
      <x:c r="C64" t="str">
        <x:v>Hydro</x:v>
      </x:c>
      <x:c r="D64" t="n">
        <x:v>2034</x:v>
      </x:c>
      <x:c r="E64" t="str">
        <x:v>Hydro</x:v>
      </x:c>
      <x:c r="F64" t="str">
        <x:v>Optimised</x:v>
      </x:c>
      <x:c r="G64" t="str">
        <x:v>WAPDA</x:v>
      </x:c>
      <x:c r="H64" s="20" t="n">
        <x:v>1500</x:v>
      </x:c>
      <x:c r="I64" s="20" t="n">
        <x:v>1500</x:v>
      </x:c>
      <x:c r="J64" t="str">
        <x:v>Jul-33</x:v>
      </x:c>
      <x:c r="K64" t="str">
        <x:v>Gilgit-Baltistan</x:v>
      </x:c>
      <x:c r="L64" t="str">
        <x:v>Site vicinity</x:v>
      </x:c>
      <x:c r="M64" t="n">
        <x:v>120</x:v>
      </x:c>
      <x:c r="N64" t="n">
        <x:v>71</x:v>
      </x:c>
      <x:c r="O64" t="str">
        <x:v>Diamer Bhasha dam (GB/KP border)</x:v>
      </x:c>
    </x:row>
    <x:row r="65" ht="18" customHeight="1">
      <x:c r="A65" t="n">
        <x:v>62</x:v>
      </x:c>
      <x:c r="B65" t="str">
        <x:v>KE_New_Wind</x:v>
      </x:c>
      <x:c r="C65" t="str">
        <x:v>Wind</x:v>
      </x:c>
      <x:c r="D65" t="n">
        <x:v>2034</x:v>
      </x:c>
      <x:c r="E65" t="str">
        <x:v>Wind</x:v>
      </x:c>
      <x:c r="F65" t="str">
        <x:v>Optimised</x:v>
      </x:c>
      <x:c r="G65" t="str">
        <x:v>KE</x:v>
      </x:c>
      <x:c r="H65" s="20" t="n">
        <x:v>41</x:v>
      </x:c>
      <x:c r="I65" s="20" t="n">
        <x:v>41</x:v>
      </x:c>
      <x:c r="J65" t="str">
        <x:v>Jul-33</x:v>
      </x:c>
      <x:c r="K65" t="str">
        <x:v>Unspecified / distributed</x:v>
      </x:c>
      <x:c r="L65" t="str">
        <x:v>Not located in IGCEP</x:v>
      </x:c>
      <x:c r="M65" t="n">
        <x:v>120</x:v>
      </x:c>
      <x:c r="N65" t="n">
        <x:v>71</x:v>
      </x:c>
      <x:c r="O65"/>
    </x:row>
    <x:row r="66" ht="18" customHeight="1">
      <x:c r="A66" t="n">
        <x:v>63</x:v>
      </x:c>
      <x:c r="B66" t="str">
        <x:v>Net Meter</x:v>
      </x:c>
      <x:c r="C66" t="str">
        <x:v>Solar PV</x:v>
      </x:c>
      <x:c r="D66" t="n">
        <x:v>2035</x:v>
      </x:c>
      <x:c r="E66" t="str">
        <x:v>PV</x:v>
      </x:c>
      <x:c r="F66" t="str">
        <x:v>Committed</x:v>
      </x:c>
      <x:c r="G66" t="str">
        <x:v>NGC</x:v>
      </x:c>
      <x:c r="H66" s="20" t="n">
        <x:v>120</x:v>
      </x:c>
      <x:c r="I66" s="20" t="n">
        <x:v>120</x:v>
      </x:c>
      <x:c r="J66" t="str">
        <x:v>Jul-34</x:v>
      </x:c>
      <x:c r="K66" t="str">
        <x:v>Unspecified / distributed</x:v>
      </x:c>
      <x:c r="L66" t="str">
        <x:v>Not located in IGCEP</x:v>
      </x:c>
      <x:c r="M66" t="n">
        <x:v>120</x:v>
      </x:c>
      <x:c r="N66" t="n">
        <x:v>71</x:v>
      </x:c>
      <x:c r="O66"/>
    </x:row>
    <x:row r="67" ht="18" customHeight="1">
      <x:c r="A67" t="n">
        <x:v>64</x:v>
      </x:c>
      <x:c r="B67" t="str">
        <x:v>Diamer Bhasha (U#9-12)</x:v>
      </x:c>
      <x:c r="C67" t="str">
        <x:v>Hydro</x:v>
      </x:c>
      <x:c r="D67" t="n">
        <x:v>2035</x:v>
      </x:c>
      <x:c r="E67" t="str">
        <x:v>Hydro</x:v>
      </x:c>
      <x:c r="F67" t="str">
        <x:v>Optimised</x:v>
      </x:c>
      <x:c r="G67" t="str">
        <x:v>WAPDA</x:v>
      </x:c>
      <x:c r="H67" s="20" t="n">
        <x:v>1500</x:v>
      </x:c>
      <x:c r="I67" s="20" t="n">
        <x:v>1500</x:v>
      </x:c>
      <x:c r="J67" t="str">
        <x:v>Jul-34</x:v>
      </x:c>
      <x:c r="K67" t="str">
        <x:v>Gilgit-Baltistan</x:v>
      </x:c>
      <x:c r="L67" t="str">
        <x:v>Site vicinity</x:v>
      </x:c>
      <x:c r="M67" t="n">
        <x:v>120</x:v>
      </x:c>
      <x:c r="N67" t="n">
        <x:v>71</x:v>
      </x:c>
      <x:c r="O67" t="str">
        <x:v>Diamer Bhasha dam (GB/KP border)</x:v>
      </x:c>
    </x:row>
    <x:row r="68" ht="18" customHeight="1">
      <x:c r="A68" t="n">
        <x:v>65</x:v>
      </x:c>
      <x:c r="B68" t="str">
        <x:v>KE_New_Wind</x:v>
      </x:c>
      <x:c r="C68" t="str">
        <x:v>Wind</x:v>
      </x:c>
      <x:c r="D68" t="n">
        <x:v>2035</x:v>
      </x:c>
      <x:c r="E68" t="str">
        <x:v>Wind</x:v>
      </x:c>
      <x:c r="F68" t="str">
        <x:v>Optimised</x:v>
      </x:c>
      <x:c r="G68" t="str">
        <x:v>KE</x:v>
      </x:c>
      <x:c r="H68" s="20" t="n">
        <x:v>159</x:v>
      </x:c>
      <x:c r="I68" s="20" t="n">
        <x:v>159</x:v>
      </x:c>
      <x:c r="J68" t="str">
        <x:v>Jul-34</x:v>
      </x:c>
      <x:c r="K68" t="str">
        <x:v>Unspecified / distributed</x:v>
      </x:c>
      <x:c r="L68" t="str">
        <x:v>Not located in IGCEP</x:v>
      </x:c>
      <x:c r="M68" t="n">
        <x:v>120</x:v>
      </x:c>
      <x:c r="N68" t="n">
        <x:v>71</x:v>
      </x:c>
      <x:c r="O68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7f07a1e4363d4a6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20" hidden="0" customWidth="1"/>
    <x:col min="4" max="4" width="19" hidden="0" customWidth="1"/>
    <x:col min="5" max="5" width="17" hidden="0" customWidth="1"/>
    <x:col min="6" max="6" width="18" hidden="0" customWidth="1"/>
    <x:col min="7" max="7" width="27" hidden="0" customWidth="1"/>
    <x:col min="8" max="8" width="24" hidden="0" customWidth="1"/>
    <x:col min="9" max="9" width="17" hidden="0" customWidth="1"/>
    <x:col min="10" max="10" width="17" hidden="0" customWidth="1"/>
    <x:col min="11" max="11" width="22" hidden="0" customWidth="1"/>
    <x:col min="12" max="12" width="15" hidden="0" customWidth="1"/>
    <x:col min="13" max="13" width="16" hidden="0" customWidth="1"/>
    <x:col min="14" max="14" width="35" hidden="0" customWidth="1"/>
  </x:cols>
  <x:sheetData>
    <x:row r="1" ht="30" customHeight="1">
      <x:c r="A1" s="4" t="str">
        <x:v>Existing Generation Fleet • November 2024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10" t="str">
        <x:v>Annexures B-1(i) &amp; B-1(ii); 136 records include 100 MW electricity import from Iran as a non-plant entry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 ht="26" customHeight="1">
      <x:c r="A3" s="16" t="str">
        <x:v>Record</x:v>
      </x:c>
      <x:c r="B3" s="16" t="str">
        <x:v>IGCEP name</x:v>
      </x:c>
      <x:c r="C3" s="16" t="str">
        <x:v>Technology</x:v>
      </x:c>
      <x:c r="D3" s="16" t="str">
        <x:v>Fuel</x:v>
      </x:c>
      <x:c r="E3" s="16" t="str">
        <x:v>Installed MW</x:v>
      </x:c>
      <x:c r="F3" s="16" t="str">
        <x:v>Dependable MW</x:v>
      </x:c>
      <x:c r="G3" s="16" t="str">
        <x:v>Region</x:v>
      </x:c>
      <x:c r="H3" s="16" t="str">
        <x:v>Location quality</x:v>
      </x:c>
      <x:c r="I3" s="16" t="str">
        <x:v>Latitude</x:v>
      </x:c>
      <x:c r="J3" s="16" t="str">
        <x:v>Longitude</x:v>
      </x:c>
      <x:c r="K3" s="16" t="str">
        <x:v>Scheduled retirement FY</x:v>
      </x:c>
      <x:c r="L3" s="16" t="str">
        <x:v>IGCEP PDF p.</x:v>
      </x:c>
      <x:c r="M3" s="16" t="str">
        <x:v>System</x:v>
      </x:c>
      <x:c r="N3" s="16" t="str">
        <x:v>Site / cluster note</x:v>
      </x:c>
    </x:row>
    <x:row r="4" ht="18" customHeight="1">
      <x:c r="A4" t="str">
        <x:v>BKE-013</x:v>
      </x:c>
      <x:c r="B4" t="str">
        <x:v>Gharo</x:v>
      </x:c>
      <x:c r="C4" t="str">
        <x:v>Solar PV</x:v>
      </x:c>
      <x:c r="D4" t="str">
        <x:v>KE_PV</x:v>
      </x:c>
      <x:c r="E4" s="20" t="n">
        <x:v>50</x:v>
      </x:c>
      <x:c r="F4" s="20" t="n">
        <x:v>50</x:v>
      </x:c>
      <x:c r="G4" t="str">
        <x:v>Sindh</x:v>
      </x:c>
      <x:c r="H4" t="str">
        <x:v>Regional locality</x:v>
      </x:c>
      <x:c r="I4" t="n">
        <x:v>24.75</x:v>
      </x:c>
      <x:c r="J4" t="n">
        <x:v>67.59</x:v>
      </x:c>
      <x:c r="K4"/>
      <x:c r="L4" t="n">
        <x:v>153</x:v>
      </x:c>
      <x:c r="M4" t="str">
        <x:v>KE</x:v>
      </x:c>
      <x:c r="N4" t="str">
        <x:v>Gharo</x:v>
      </x:c>
    </x:row>
    <x:row r="5" ht="18" customHeight="1">
      <x:c r="A5" t="str">
        <x:v>BKE-014</x:v>
      </x:c>
      <x:c r="B5" t="str">
        <x:v>Oursun</x:v>
      </x:c>
      <x:c r="C5" t="str">
        <x:v>Solar PV</x:v>
      </x:c>
      <x:c r="D5" t="str">
        <x:v>KE_PV</x:v>
      </x:c>
      <x:c r="E5" s="20" t="n">
        <x:v>50</x:v>
      </x:c>
      <x:c r="F5" s="20" t="n">
        <x:v>50</x:v>
      </x:c>
      <x:c r="G5" t="str">
        <x:v>Sindh</x:v>
      </x:c>
      <x:c r="H5" t="str">
        <x:v>Not located in IGCEP</x:v>
      </x:c>
      <x:c r="I5"/>
      <x:c r="J5"/>
      <x:c r="K5"/>
      <x:c r="L5" t="n">
        <x:v>153</x:v>
      </x:c>
      <x:c r="M5" t="str">
        <x:v>KE</x:v>
      </x:c>
      <x:c r="N5" t="str">
        <x:v>Region inferred from project/agency context; site not geocoded.</x:v>
      </x:c>
    </x:row>
    <x:row r="6" ht="18" customHeight="1">
      <x:c r="A6" t="str">
        <x:v>B01-001</x:v>
      </x:c>
      <x:c r="B6" t="str">
        <x:v>Allai Khwar</x:v>
      </x:c>
      <x:c r="C6" t="str">
        <x:v>Hydro</x:v>
      </x:c>
      <x:c r="D6" t="str">
        <x:v>Hydro</x:v>
      </x:c>
      <x:c r="E6" s="20" t="n">
        <x:v>121</x:v>
      </x:c>
      <x:c r="F6" s="20" t="n">
        <x:v>121</x:v>
      </x:c>
      <x:c r="G6" t="str">
        <x:v>Khyber Pakhtunkhwa</x:v>
      </x:c>
      <x:c r="H6" t="str">
        <x:v>Cluster proxy</x:v>
      </x:c>
      <x:c r="I6" t="n">
        <x:v>34.72</x:v>
      </x:c>
      <x:c r="J6" t="n">
        <x:v>72.89</x:v>
      </x:c>
      <x:c r="K6"/>
      <x:c r="L6" t="n">
        <x:v>149</x:v>
      </x:c>
      <x:c r="M6" t="str">
        <x:v>NGC</x:v>
      </x:c>
      <x:c r="N6" t="str">
        <x:v>Shangla–Battagram corridor</x:v>
      </x:c>
    </x:row>
    <x:row r="7" ht="18" customHeight="1">
      <x:c r="A7" t="str">
        <x:v>BKE-001</x:v>
      </x:c>
      <x:c r="B7" t="str">
        <x:v>SNPC-I</x:v>
      </x:c>
      <x:c r="C7" t="str">
        <x:v>Gas</x:v>
      </x:c>
      <x:c r="D7" t="str">
        <x:v>KE_CCGT_Gas</x:v>
      </x:c>
      <x:c r="E7" s="20" t="n">
        <x:v>52</x:v>
      </x:c>
      <x:c r="F7" s="20" t="n">
        <x:v>51</x:v>
      </x:c>
      <x:c r="G7" t="str">
        <x:v>Sindh</x:v>
      </x:c>
      <x:c r="H7" t="str">
        <x:v>Cluster proxy</x:v>
      </x:c>
      <x:c r="I7" t="n">
        <x:v>24.82</x:v>
      </x:c>
      <x:c r="J7" t="n">
        <x:v>67.35</x:v>
      </x:c>
      <x:c r="K7"/>
      <x:c r="L7" t="n">
        <x:v>153</x:v>
      </x:c>
      <x:c r="M7" t="str">
        <x:v>NGC</x:v>
      </x:c>
      <x:c r="N7" t="str">
        <x:v>Karachi power complex</x:v>
      </x:c>
    </x:row>
    <x:row r="8" ht="18" customHeight="1">
      <x:c r="A8" t="str">
        <x:v>B01-002</x:v>
      </x:c>
      <x:c r="B8" t="str">
        <x:v>Chashma</x:v>
      </x:c>
      <x:c r="C8" t="str">
        <x:v>Hydro</x:v>
      </x:c>
      <x:c r="D8" t="str">
        <x:v>Hydro</x:v>
      </x:c>
      <x:c r="E8" s="20" t="n">
        <x:v>184</x:v>
      </x:c>
      <x:c r="F8" s="20" t="n">
        <x:v>184</x:v>
      </x:c>
      <x:c r="G8" t="str">
        <x:v>Punjab</x:v>
      </x:c>
      <x:c r="H8" t="str">
        <x:v>Site vicinity</x:v>
      </x:c>
      <x:c r="I8" t="n">
        <x:v>32.43</x:v>
      </x:c>
      <x:c r="J8" t="n">
        <x:v>71.39</x:v>
      </x:c>
      <x:c r="K8"/>
      <x:c r="L8" t="n">
        <x:v>149</x:v>
      </x:c>
      <x:c r="M8" t="str">
        <x:v>NGC</x:v>
      </x:c>
      <x:c r="N8" t="str">
        <x:v>Chashma–Mianwali</x:v>
      </x:c>
    </x:row>
    <x:row r="9" ht="18" customHeight="1">
      <x:c r="A9" t="str">
        <x:v>BKE-002</x:v>
      </x:c>
      <x:c r="B9" t="str">
        <x:v>SNPC-II</x:v>
      </x:c>
      <x:c r="C9" t="str">
        <x:v>Gas</x:v>
      </x:c>
      <x:c r="D9" t="str">
        <x:v>KE_CCGT_Gas</x:v>
      </x:c>
      <x:c r="E9" s="20" t="n">
        <x:v>52</x:v>
      </x:c>
      <x:c r="F9" s="20" t="n">
        <x:v>52</x:v>
      </x:c>
      <x:c r="G9" t="str">
        <x:v>Sindh</x:v>
      </x:c>
      <x:c r="H9" t="str">
        <x:v>Cluster proxy</x:v>
      </x:c>
      <x:c r="I9" t="n">
        <x:v>24.82</x:v>
      </x:c>
      <x:c r="J9" t="n">
        <x:v>67.35</x:v>
      </x:c>
      <x:c r="K9"/>
      <x:c r="L9" t="n">
        <x:v>153</x:v>
      </x:c>
      <x:c r="M9" t="str">
        <x:v>NGC</x:v>
      </x:c>
      <x:c r="N9" t="str">
        <x:v>Karachi power complex</x:v>
      </x:c>
    </x:row>
    <x:row r="10" ht="18" customHeight="1">
      <x:c r="A10" t="str">
        <x:v>B01-003</x:v>
      </x:c>
      <x:c r="B10" t="str">
        <x:v>Dubair Khwar</x:v>
      </x:c>
      <x:c r="C10" t="str">
        <x:v>Hydro</x:v>
      </x:c>
      <x:c r="D10" t="str">
        <x:v>Hydro</x:v>
      </x:c>
      <x:c r="E10" s="20" t="n">
        <x:v>130</x:v>
      </x:c>
      <x:c r="F10" s="20" t="n">
        <x:v>130</x:v>
      </x:c>
      <x:c r="G10" t="str">
        <x:v>Khyber Pakhtunkhwa</x:v>
      </x:c>
      <x:c r="H10" t="str">
        <x:v>Cluster proxy</x:v>
      </x:c>
      <x:c r="I10" t="n">
        <x:v>34.72</x:v>
      </x:c>
      <x:c r="J10" t="n">
        <x:v>72.89</x:v>
      </x:c>
      <x:c r="K10"/>
      <x:c r="L10" t="n">
        <x:v>149</x:v>
      </x:c>
      <x:c r="M10" t="str">
        <x:v>NGC</x:v>
      </x:c>
      <x:c r="N10" t="str">
        <x:v>Shangla–Battagram corridor</x:v>
      </x:c>
    </x:row>
    <x:row r="11" ht="18" customHeight="1">
      <x:c r="A11" t="str">
        <x:v>BKE-003</x:v>
      </x:c>
      <x:c r="B11" t="str">
        <x:v>FPCL</x:v>
      </x:c>
      <x:c r="C11" t="str">
        <x:v>Coal - Imported</x:v>
      </x:c>
      <x:c r="D11" t="str">
        <x:v>KE_Imported Coal</x:v>
      </x:c>
      <x:c r="E11" s="20" t="n">
        <x:v>60</x:v>
      </x:c>
      <x:c r="F11" s="20" t="n">
        <x:v>52</x:v>
      </x:c>
      <x:c r="G11" t="str">
        <x:v>Sindh</x:v>
      </x:c>
      <x:c r="H11" t="str">
        <x:v>Cluster proxy</x:v>
      </x:c>
      <x:c r="I11" t="n">
        <x:v>24.82</x:v>
      </x:c>
      <x:c r="J11" t="n">
        <x:v>67.35</x:v>
      </x:c>
      <x:c r="K11"/>
      <x:c r="L11" t="n">
        <x:v>153</x:v>
      </x:c>
      <x:c r="M11" t="str">
        <x:v>NGC</x:v>
      </x:c>
      <x:c r="N11" t="str">
        <x:v>Karachi power complex</x:v>
      </x:c>
    </x:row>
    <x:row r="12" ht="18" customHeight="1">
      <x:c r="A12" t="str">
        <x:v>B01-004</x:v>
      </x:c>
      <x:c r="B12" t="str">
        <x:v>Ghazi Brotha</x:v>
      </x:c>
      <x:c r="C12" t="str">
        <x:v>Hydro</x:v>
      </x:c>
      <x:c r="D12" t="str">
        <x:v>Hydro</x:v>
      </x:c>
      <x:c r="E12" s="20" t="n">
        <x:v>1450</x:v>
      </x:c>
      <x:c r="F12" s="20" t="n">
        <x:v>1450</x:v>
      </x:c>
      <x:c r="G12" t="str">
        <x:v>Khyber Pakhtunkhwa</x:v>
      </x:c>
      <x:c r="H12" t="str">
        <x:v>Site vicinity</x:v>
      </x:c>
      <x:c r="I12" t="n">
        <x:v>34.1</x:v>
      </x:c>
      <x:c r="J12" t="n">
        <x:v>72.77</x:v>
      </x:c>
      <x:c r="K12"/>
      <x:c r="L12" t="n">
        <x:v>149</x:v>
      </x:c>
      <x:c r="M12" t="str">
        <x:v>NGC</x:v>
      </x:c>
      <x:c r="N12" t="str">
        <x:v>Tarbela–Ghazi Barotha</x:v>
      </x:c>
    </x:row>
    <x:row r="13" ht="18" customHeight="1">
      <x:c r="A13" t="str">
        <x:v>BKE-004</x:v>
      </x:c>
      <x:c r="B13" t="str">
        <x:v>BQPS2</x:v>
      </x:c>
      <x:c r="C13" t="str">
        <x:v>RLNG</x:v>
      </x:c>
      <x:c r="D13" t="str">
        <x:v>KE_CCGT_RLNG</x:v>
      </x:c>
      <x:c r="E13" s="20" t="n">
        <x:v>573</x:v>
      </x:c>
      <x:c r="F13" s="20" t="n">
        <x:v>493</x:v>
      </x:c>
      <x:c r="G13" t="str">
        <x:v>Sindh</x:v>
      </x:c>
      <x:c r="H13" t="str">
        <x:v>Cluster proxy</x:v>
      </x:c>
      <x:c r="I13" t="n">
        <x:v>24.82</x:v>
      </x:c>
      <x:c r="J13" t="n">
        <x:v>67.35</x:v>
      </x:c>
      <x:c r="K13"/>
      <x:c r="L13" t="n">
        <x:v>153</x:v>
      </x:c>
      <x:c r="M13" t="str">
        <x:v>NGC</x:v>
      </x:c>
      <x:c r="N13" t="str">
        <x:v>Karachi power complex</x:v>
      </x:c>
    </x:row>
    <x:row r="14" ht="18" customHeight="1">
      <x:c r="A14" t="str">
        <x:v>B01-005</x:v>
      </x:c>
      <x:c r="B14" t="str">
        <x:v>Golen Gol</x:v>
      </x:c>
      <x:c r="C14" t="str">
        <x:v>Hydro</x:v>
      </x:c>
      <x:c r="D14" t="str">
        <x:v>Hydro</x:v>
      </x:c>
      <x:c r="E14" s="20" t="n">
        <x:v>108</x:v>
      </x:c>
      <x:c r="F14" s="20" t="n">
        <x:v>108</x:v>
      </x:c>
      <x:c r="G14" t="str">
        <x:v>Khyber Pakhtunkhwa</x:v>
      </x:c>
      <x:c r="H14" t="str">
        <x:v>Site vicinity</x:v>
      </x:c>
      <x:c r="I14" t="n">
        <x:v>36</x:v>
      </x:c>
      <x:c r="J14" t="n">
        <x:v>71.72</x:v>
      </x:c>
      <x:c r="K14"/>
      <x:c r="L14" t="n">
        <x:v>149</x:v>
      </x:c>
      <x:c r="M14" t="str">
        <x:v>NGC</x:v>
      </x:c>
      <x:c r="N14" t="str">
        <x:v>Golen Gol–Chitral</x:v>
      </x:c>
    </x:row>
    <x:row r="15" ht="18" customHeight="1">
      <x:c r="A15" t="str">
        <x:v>BKE-005</x:v>
      </x:c>
      <x:c r="B15" t="str">
        <x:v>BQPS3</x:v>
      </x:c>
      <x:c r="C15" t="str">
        <x:v>RLNG</x:v>
      </x:c>
      <x:c r="D15" t="str">
        <x:v>KE_CCGT_RLNG</x:v>
      </x:c>
      <x:c r="E15" s="20" t="n">
        <x:v>942</x:v>
      </x:c>
      <x:c r="F15" s="20" t="n">
        <x:v>889</x:v>
      </x:c>
      <x:c r="G15" t="str">
        <x:v>Sindh</x:v>
      </x:c>
      <x:c r="H15" t="str">
        <x:v>Cluster proxy</x:v>
      </x:c>
      <x:c r="I15" t="n">
        <x:v>24.82</x:v>
      </x:c>
      <x:c r="J15" t="n">
        <x:v>67.35</x:v>
      </x:c>
      <x:c r="K15"/>
      <x:c r="L15" t="n">
        <x:v>153</x:v>
      </x:c>
      <x:c r="M15" t="str">
        <x:v>NGC</x:v>
      </x:c>
      <x:c r="N15" t="str">
        <x:v>Karachi power complex</x:v>
      </x:c>
    </x:row>
    <x:row r="16" ht="18" customHeight="1">
      <x:c r="A16" t="str">
        <x:v>B01-006</x:v>
      </x:c>
      <x:c r="B16" t="str">
        <x:v>Jinnah</x:v>
      </x:c>
      <x:c r="C16" t="str">
        <x:v>Hydro</x:v>
      </x:c>
      <x:c r="D16" t="str">
        <x:v>Hydro</x:v>
      </x:c>
      <x:c r="E16" s="20" t="n">
        <x:v>96</x:v>
      </x:c>
      <x:c r="F16" s="20" t="n">
        <x:v>36</x:v>
      </x:c>
      <x:c r="G16" t="str">
        <x:v>Punjab</x:v>
      </x:c>
      <x:c r="H16" t="str">
        <x:v>Site vicinity</x:v>
      </x:c>
      <x:c r="I16" t="n">
        <x:v>32.43</x:v>
      </x:c>
      <x:c r="J16" t="n">
        <x:v>71.39</x:v>
      </x:c>
      <x:c r="K16"/>
      <x:c r="L16" t="n">
        <x:v>149</x:v>
      </x:c>
      <x:c r="M16" t="str">
        <x:v>NGC</x:v>
      </x:c>
      <x:c r="N16" t="str">
        <x:v>Chashma–Mianwali</x:v>
      </x:c>
    </x:row>
    <x:row r="17" ht="18" customHeight="1">
      <x:c r="A17" t="str">
        <x:v>BKE-006</x:v>
      </x:c>
      <x:c r="B17" t="str">
        <x:v>KCCPP</x:v>
      </x:c>
      <x:c r="C17" t="str">
        <x:v>RLNG</x:v>
      </x:c>
      <x:c r="D17" t="str">
        <x:v>KE_CCGT_RLNG</x:v>
      </x:c>
      <x:c r="E17" s="20" t="n">
        <x:v>248</x:v>
      </x:c>
      <x:c r="F17" s="20" t="n">
        <x:v>212</x:v>
      </x:c>
      <x:c r="G17" t="str">
        <x:v>Sindh</x:v>
      </x:c>
      <x:c r="H17" t="str">
        <x:v>Cluster proxy</x:v>
      </x:c>
      <x:c r="I17" t="n">
        <x:v>24.82</x:v>
      </x:c>
      <x:c r="J17" t="n">
        <x:v>67.35</x:v>
      </x:c>
      <x:c r="K17"/>
      <x:c r="L17" t="n">
        <x:v>153</x:v>
      </x:c>
      <x:c r="M17" t="str">
        <x:v>NGC</x:v>
      </x:c>
      <x:c r="N17" t="str">
        <x:v>Karachi power complex</x:v>
      </x:c>
    </x:row>
    <x:row r="18" ht="18" customHeight="1">
      <x:c r="A18" t="str">
        <x:v>B01-007</x:v>
      </x:c>
      <x:c r="B18" t="str">
        <x:v>Khan Khwar</x:v>
      </x:c>
      <x:c r="C18" t="str">
        <x:v>Hydro</x:v>
      </x:c>
      <x:c r="D18" t="str">
        <x:v>Hydro</x:v>
      </x:c>
      <x:c r="E18" s="20" t="n">
        <x:v>72</x:v>
      </x:c>
      <x:c r="F18" s="20" t="n">
        <x:v>72</x:v>
      </x:c>
      <x:c r="G18" t="str">
        <x:v>Khyber Pakhtunkhwa</x:v>
      </x:c>
      <x:c r="H18" t="str">
        <x:v>Cluster proxy</x:v>
      </x:c>
      <x:c r="I18" t="n">
        <x:v>34.72</x:v>
      </x:c>
      <x:c r="J18" t="n">
        <x:v>72.89</x:v>
      </x:c>
      <x:c r="K18"/>
      <x:c r="L18" t="n">
        <x:v>149</x:v>
      </x:c>
      <x:c r="M18" t="str">
        <x:v>NGC</x:v>
      </x:c>
      <x:c r="N18" t="str">
        <x:v>Shangla–Battagram corridor</x:v>
      </x:c>
    </x:row>
    <x:row r="19" ht="18" customHeight="1">
      <x:c r="A19" t="str">
        <x:v>BKE-007</x:v>
      </x:c>
      <x:c r="B19" t="str">
        <x:v>KTGTPS</x:v>
      </x:c>
      <x:c r="C19" t="str">
        <x:v>RLNG</x:v>
      </x:c>
      <x:c r="D19" t="str">
        <x:v>KE_CCGT_RLNG</x:v>
      </x:c>
      <x:c r="E19" s="20" t="n">
        <x:v>107</x:v>
      </x:c>
      <x:c r="F19" s="20" t="n">
        <x:v>92</x:v>
      </x:c>
      <x:c r="G19" t="str">
        <x:v>Sindh</x:v>
      </x:c>
      <x:c r="H19" t="str">
        <x:v>Cluster proxy</x:v>
      </x:c>
      <x:c r="I19" t="n">
        <x:v>24.82</x:v>
      </x:c>
      <x:c r="J19" t="n">
        <x:v>67.35</x:v>
      </x:c>
      <x:c r="K19"/>
      <x:c r="L19" t="n">
        <x:v>153</x:v>
      </x:c>
      <x:c r="M19" t="str">
        <x:v>NGC</x:v>
      </x:c>
      <x:c r="N19" t="str">
        <x:v>Karachi power complex</x:v>
      </x:c>
    </x:row>
    <x:row r="20" ht="18" customHeight="1">
      <x:c r="A20" t="str">
        <x:v>B01-008</x:v>
      </x:c>
      <x:c r="B20" t="str">
        <x:v>Mangla</x:v>
      </x:c>
      <x:c r="C20" t="str">
        <x:v>Hydro</x:v>
      </x:c>
      <x:c r="D20" t="str">
        <x:v>Hydro</x:v>
      </x:c>
      <x:c r="E20" s="20" t="n">
        <x:v>1070</x:v>
      </x:c>
      <x:c r="F20" s="20" t="n">
        <x:v>960</x:v>
      </x:c>
      <x:c r="G20" t="str">
        <x:v>Azad Jammu &amp; Kashmir</x:v>
      </x:c>
      <x:c r="H20" t="str">
        <x:v>Site vicinity</x:v>
      </x:c>
      <x:c r="I20" t="n">
        <x:v>33.12</x:v>
      </x:c>
      <x:c r="J20" t="n">
        <x:v>73.65</x:v>
      </x:c>
      <x:c r="K20"/>
      <x:c r="L20" t="n">
        <x:v>149</x:v>
      </x:c>
      <x:c r="M20" t="str">
        <x:v>NGC</x:v>
      </x:c>
      <x:c r="N20" t="str">
        <x:v>Mangla–Mirpur</x:v>
      </x:c>
    </x:row>
    <x:row r="21" ht="18" customHeight="1">
      <x:c r="A21" t="str">
        <x:v>BKE-008</x:v>
      </x:c>
      <x:c r="B21" t="str">
        <x:v>SGTPS</x:v>
      </x:c>
      <x:c r="C21" t="str">
        <x:v>RLNG</x:v>
      </x:c>
      <x:c r="D21" t="str">
        <x:v>KE_CCGT_RLNG</x:v>
      </x:c>
      <x:c r="E21" s="20" t="n">
        <x:v>107</x:v>
      </x:c>
      <x:c r="F21" s="20" t="n">
        <x:v>93</x:v>
      </x:c>
      <x:c r="G21" t="str">
        <x:v>Sindh</x:v>
      </x:c>
      <x:c r="H21" t="str">
        <x:v>Cluster proxy</x:v>
      </x:c>
      <x:c r="I21" t="n">
        <x:v>24.82</x:v>
      </x:c>
      <x:c r="J21" t="n">
        <x:v>67.35</x:v>
      </x:c>
      <x:c r="K21"/>
      <x:c r="L21" t="n">
        <x:v>153</x:v>
      </x:c>
      <x:c r="M21" t="str">
        <x:v>NGC</x:v>
      </x:c>
      <x:c r="N21" t="str">
        <x:v>Karachi power complex</x:v>
      </x:c>
    </x:row>
    <x:row r="22" ht="18" customHeight="1">
      <x:c r="A22" t="str">
        <x:v>B01-009</x:v>
      </x:c>
      <x:c r="B22" t="str">
        <x:v>Neelum Jehlum</x:v>
      </x:c>
      <x:c r="C22" t="str">
        <x:v>Hydro</x:v>
      </x:c>
      <x:c r="D22" t="str">
        <x:v>Hydro</x:v>
      </x:c>
      <x:c r="E22" s="20" t="n">
        <x:v>969</x:v>
      </x:c>
      <x:c r="F22" s="20" t="n">
        <x:v>0</x:v>
      </x:c>
      <x:c r="G22" t="str">
        <x:v>Azad Jammu &amp; Kashmir</x:v>
      </x:c>
      <x:c r="H22" t="str">
        <x:v>Site vicinity</x:v>
      </x:c>
      <x:c r="I22" t="n">
        <x:v>34.28</x:v>
      </x:c>
      <x:c r="J22" t="n">
        <x:v>73.57</x:v>
      </x:c>
      <x:c r="K22"/>
      <x:c r="L22" t="n">
        <x:v>149</x:v>
      </x:c>
      <x:c r="M22" t="str">
        <x:v>NGC</x:v>
      </x:c>
      <x:c r="N22" t="str">
        <x:v>Neelum–Jhelum</x:v>
      </x:c>
    </x:row>
    <x:row r="23" ht="18" customHeight="1">
      <x:c r="A23" t="str">
        <x:v>BKE-009</x:v>
      </x:c>
      <x:c r="B23" t="str">
        <x:v>BQPS1-U5</x:v>
      </x:c>
      <x:c r="C23" t="str">
        <x:v>RLNG</x:v>
      </x:c>
      <x:c r="D23" t="str">
        <x:v>KE_ST_RLNG</x:v>
      </x:c>
      <x:c r="E23" s="20" t="n">
        <x:v>210</x:v>
      </x:c>
      <x:c r="F23" s="20" t="n">
        <x:v>188</x:v>
      </x:c>
      <x:c r="G23" t="str">
        <x:v>Sindh</x:v>
      </x:c>
      <x:c r="H23" t="str">
        <x:v>Cluster proxy</x:v>
      </x:c>
      <x:c r="I23" t="n">
        <x:v>24.82</x:v>
      </x:c>
      <x:c r="J23" t="n">
        <x:v>67.35</x:v>
      </x:c>
      <x:c r="K23" t="n">
        <x:v>2027</x:v>
      </x:c>
      <x:c r="L23" t="n">
        <x:v>153</x:v>
      </x:c>
      <x:c r="M23" t="str">
        <x:v>NGC</x:v>
      </x:c>
      <x:c r="N23" t="str">
        <x:v>Karachi power complex</x:v>
      </x:c>
    </x:row>
    <x:row r="24" ht="18" customHeight="1">
      <x:c r="A24" t="str">
        <x:v>B01-010</x:v>
      </x:c>
      <x:c r="B24" t="str">
        <x:v>Tarbela 1-14</x:v>
      </x:c>
      <x:c r="C24" t="str">
        <x:v>Hydro</x:v>
      </x:c>
      <x:c r="D24" t="str">
        <x:v>Hydro</x:v>
      </x:c>
      <x:c r="E24" s="20" t="n">
        <x:v>3478</x:v>
      </x:c>
      <x:c r="F24" s="20" t="n">
        <x:v>3478</x:v>
      </x:c>
      <x:c r="G24" t="str">
        <x:v>Khyber Pakhtunkhwa</x:v>
      </x:c>
      <x:c r="H24" t="str">
        <x:v>Site vicinity</x:v>
      </x:c>
      <x:c r="I24" t="n">
        <x:v>34.1</x:v>
      </x:c>
      <x:c r="J24" t="n">
        <x:v>72.77</x:v>
      </x:c>
      <x:c r="K24"/>
      <x:c r="L24" t="n">
        <x:v>149</x:v>
      </x:c>
      <x:c r="M24" t="str">
        <x:v>NGC</x:v>
      </x:c>
      <x:c r="N24" t="str">
        <x:v>Tarbela–Ghazi Barotha</x:v>
      </x:c>
    </x:row>
    <x:row r="25" ht="18" customHeight="1">
      <x:c r="A25" t="str">
        <x:v>BKE-010</x:v>
      </x:c>
      <x:c r="B25" t="str">
        <x:v>BQPS1-U6</x:v>
      </x:c>
      <x:c r="C25" t="str">
        <x:v>RLNG</x:v>
      </x:c>
      <x:c r="D25" t="str">
        <x:v>KE_ST_RLNG</x:v>
      </x:c>
      <x:c r="E25" s="20" t="n">
        <x:v>210</x:v>
      </x:c>
      <x:c r="F25" s="20" t="n">
        <x:v>191</x:v>
      </x:c>
      <x:c r="G25" t="str">
        <x:v>Sindh</x:v>
      </x:c>
      <x:c r="H25" t="str">
        <x:v>Cluster proxy</x:v>
      </x:c>
      <x:c r="I25" t="n">
        <x:v>24.82</x:v>
      </x:c>
      <x:c r="J25" t="n">
        <x:v>67.35</x:v>
      </x:c>
      <x:c r="K25" t="n">
        <x:v>2033</x:v>
      </x:c>
      <x:c r="L25" t="n">
        <x:v>153</x:v>
      </x:c>
      <x:c r="M25" t="str">
        <x:v>NGC</x:v>
      </x:c>
      <x:c r="N25" t="str">
        <x:v>Karachi power complex</x:v>
      </x:c>
    </x:row>
    <x:row r="26" ht="18" customHeight="1">
      <x:c r="A26" t="str">
        <x:v>B01-011</x:v>
      </x:c>
      <x:c r="B26" t="str">
        <x:v>Tarbela_Ext_04</x:v>
      </x:c>
      <x:c r="C26" t="str">
        <x:v>Hydro</x:v>
      </x:c>
      <x:c r="D26" t="str">
        <x:v>Hydro</x:v>
      </x:c>
      <x:c r="E26" s="20" t="n">
        <x:v>1410</x:v>
      </x:c>
      <x:c r="F26" s="20" t="n">
        <x:v>1410</x:v>
      </x:c>
      <x:c r="G26" t="str">
        <x:v>Khyber Pakhtunkhwa</x:v>
      </x:c>
      <x:c r="H26" t="str">
        <x:v>Site vicinity</x:v>
      </x:c>
      <x:c r="I26" t="n">
        <x:v>34.1</x:v>
      </x:c>
      <x:c r="J26" t="n">
        <x:v>72.77</x:v>
      </x:c>
      <x:c r="K26"/>
      <x:c r="L26" t="n">
        <x:v>149</x:v>
      </x:c>
      <x:c r="M26" t="str">
        <x:v>NGC</x:v>
      </x:c>
      <x:c r="N26" t="str">
        <x:v>Tarbela–Ghazi Barotha</x:v>
      </x:c>
    </x:row>
    <x:row r="27" ht="18" customHeight="1">
      <x:c r="A27" t="str">
        <x:v>B01-012</x:v>
      </x:c>
      <x:c r="B27" t="str">
        <x:v>Warsak</x:v>
      </x:c>
      <x:c r="C27" t="str">
        <x:v>Hydro</x:v>
      </x:c>
      <x:c r="D27" t="str">
        <x:v>Hydro</x:v>
      </x:c>
      <x:c r="E27" s="20" t="n">
        <x:v>243</x:v>
      </x:c>
      <x:c r="F27" s="20" t="n">
        <x:v>160</x:v>
      </x:c>
      <x:c r="G27" t="str">
        <x:v>Khyber Pakhtunkhwa</x:v>
      </x:c>
      <x:c r="H27" t="str">
        <x:v>Site vicinity</x:v>
      </x:c>
      <x:c r="I27" t="n">
        <x:v>34.17</x:v>
      </x:c>
      <x:c r="J27" t="n">
        <x:v>71.43</x:v>
      </x:c>
      <x:c r="K27"/>
      <x:c r="L27" t="n">
        <x:v>149</x:v>
      </x:c>
      <x:c r="M27" t="str">
        <x:v>NGC</x:v>
      </x:c>
      <x:c r="N27" t="str">
        <x:v>Warsak–Peshawar</x:v>
      </x:c>
    </x:row>
    <x:row r="28" ht="18" customHeight="1">
      <x:c r="A28" t="str">
        <x:v>B01-013</x:v>
      </x:c>
      <x:c r="B28" t="str">
        <x:v>Gomal Zam</x:v>
      </x:c>
      <x:c r="C28" t="str">
        <x:v>Hydro</x:v>
      </x:c>
      <x:c r="D28" t="str">
        <x:v>Hydro</x:v>
      </x:c>
      <x:c r="E28" s="20" t="n">
        <x:v>17</x:v>
      </x:c>
      <x:c r="F28" s="20" t="n">
        <x:v>17</x:v>
      </x:c>
      <x:c r="G28" t="str">
        <x:v>Khyber Pakhtunkhwa</x:v>
      </x:c>
      <x:c r="H28" t="str">
        <x:v>Site vicinity</x:v>
      </x:c>
      <x:c r="I28" t="n">
        <x:v>32.08</x:v>
      </x:c>
      <x:c r="J28" t="n">
        <x:v>69.76</x:v>
      </x:c>
      <x:c r="K28"/>
      <x:c r="L28" t="n">
        <x:v>149</x:v>
      </x:c>
      <x:c r="M28" t="str">
        <x:v>NGC</x:v>
      </x:c>
      <x:c r="N28" t="str">
        <x:v>Gomal Zam–Tank</x:v>
      </x:c>
    </x:row>
    <x:row r="29" ht="18" customHeight="1">
      <x:c r="A29" t="str">
        <x:v>B01-014</x:v>
      </x:c>
      <x:c r="B29" t="str">
        <x:v>Rasul</x:v>
      </x:c>
      <x:c r="C29" t="str">
        <x:v>Hydro</x:v>
      </x:c>
      <x:c r="D29" t="str">
        <x:v>Hydro</x:v>
      </x:c>
      <x:c r="E29" s="20" t="n">
        <x:v>22</x:v>
      </x:c>
      <x:c r="F29" s="20" t="n">
        <x:v>22</x:v>
      </x:c>
      <x:c r="G29" t="str">
        <x:v>Punjab</x:v>
      </x:c>
      <x:c r="H29" t="str">
        <x:v>Site vicinity</x:v>
      </x:c>
      <x:c r="I29" t="n">
        <x:v>32.68</x:v>
      </x:c>
      <x:c r="J29" t="n">
        <x:v>73.54</x:v>
      </x:c>
      <x:c r="K29"/>
      <x:c r="L29" t="n">
        <x:v>149</x:v>
      </x:c>
      <x:c r="M29" t="str">
        <x:v>NGC</x:v>
      </x:c>
      <x:c r="N29" t="str">
        <x:v>Rasul Barrage–Mandi Bahauddin</x:v>
      </x:c>
    </x:row>
    <x:row r="30" ht="18" customHeight="1">
      <x:c r="A30" t="str">
        <x:v>B01-015</x:v>
      </x:c>
      <x:c r="B30" t="str">
        <x:v>Dargai</x:v>
      </x:c>
      <x:c r="C30" t="str">
        <x:v>Hydro</x:v>
      </x:c>
      <x:c r="D30" t="str">
        <x:v>Hydro</x:v>
      </x:c>
      <x:c r="E30" s="20" t="n">
        <x:v>20</x:v>
      </x:c>
      <x:c r="F30" s="20" t="n">
        <x:v>20</x:v>
      </x:c>
      <x:c r="G30" t="str">
        <x:v>Khyber Pakhtunkhwa</x:v>
      </x:c>
      <x:c r="H30" t="str">
        <x:v>Cluster proxy</x:v>
      </x:c>
      <x:c r="I30" t="n">
        <x:v>34.51</x:v>
      </x:c>
      <x:c r="J30" t="n">
        <x:v>71.9</x:v>
      </x:c>
      <x:c r="K30"/>
      <x:c r="L30" t="n">
        <x:v>149</x:v>
      </x:c>
      <x:c r="M30" t="str">
        <x:v>NGC</x:v>
      </x:c>
      <x:c r="N30" t="str">
        <x:v>Dargai–Jabban</x:v>
      </x:c>
    </x:row>
    <x:row r="31" ht="18" customHeight="1">
      <x:c r="A31" t="str">
        <x:v>B01-016</x:v>
      </x:c>
      <x:c r="B31" t="str">
        <x:v>Nandipur</x:v>
      </x:c>
      <x:c r="C31" t="str">
        <x:v>Hydro</x:v>
      </x:c>
      <x:c r="D31" t="str">
        <x:v>Hydro</x:v>
      </x:c>
      <x:c r="E31" s="20" t="n">
        <x:v>14</x:v>
      </x:c>
      <x:c r="F31" s="20" t="n">
        <x:v>14</x:v>
      </x:c>
      <x:c r="G31" t="str">
        <x:v>Punjab</x:v>
      </x:c>
      <x:c r="H31" t="str">
        <x:v>Site vicinity</x:v>
      </x:c>
      <x:c r="I31" t="n">
        <x:v>32.19</x:v>
      </x:c>
      <x:c r="J31" t="n">
        <x:v>74.13</x:v>
      </x:c>
      <x:c r="K31"/>
      <x:c r="L31" t="n">
        <x:v>149</x:v>
      </x:c>
      <x:c r="M31" t="str">
        <x:v>NGC</x:v>
      </x:c>
      <x:c r="N31" t="str">
        <x:v>Nandipur–Gujranwala</x:v>
      </x:c>
    </x:row>
    <x:row r="32" ht="18" customHeight="1">
      <x:c r="A32" t="str">
        <x:v>B01-017</x:v>
      </x:c>
      <x:c r="B32" t="str">
        <x:v>Shadiwal</x:v>
      </x:c>
      <x:c r="C32" t="str">
        <x:v>Hydro</x:v>
      </x:c>
      <x:c r="D32" t="str">
        <x:v>Hydro</x:v>
      </x:c>
      <x:c r="E32" s="20" t="n">
        <x:v>14</x:v>
      </x:c>
      <x:c r="F32" s="20" t="n">
        <x:v>14</x:v>
      </x:c>
      <x:c r="G32" t="str">
        <x:v>Punjab</x:v>
      </x:c>
      <x:c r="H32" t="str">
        <x:v>Site vicinity</x:v>
      </x:c>
      <x:c r="I32" t="n">
        <x:v>32.63</x:v>
      </x:c>
      <x:c r="J32" t="n">
        <x:v>74.08</x:v>
      </x:c>
      <x:c r="K32"/>
      <x:c r="L32" t="n">
        <x:v>149</x:v>
      </x:c>
      <x:c r="M32" t="str">
        <x:v>NGC</x:v>
      </x:c>
      <x:c r="N32" t="str">
        <x:v>Shadiwal–Gujrat</x:v>
      </x:c>
    </x:row>
    <x:row r="33" ht="18" customHeight="1">
      <x:c r="A33" t="str">
        <x:v>B01-018</x:v>
      </x:c>
      <x:c r="B33" t="str">
        <x:v>Chichoki</x:v>
      </x:c>
      <x:c r="C33" t="str">
        <x:v>Hydro</x:v>
      </x:c>
      <x:c r="D33" t="str">
        <x:v>Hydro</x:v>
      </x:c>
      <x:c r="E33" s="20" t="n">
        <x:v>13</x:v>
      </x:c>
      <x:c r="F33" s="20" t="n">
        <x:v>13</x:v>
      </x:c>
      <x:c r="G33" t="str">
        <x:v>Punjab</x:v>
      </x:c>
      <x:c r="H33" t="str">
        <x:v>Regional locality</x:v>
      </x:c>
      <x:c r="I33" t="n">
        <x:v>31.73</x:v>
      </x:c>
      <x:c r="J33" t="n">
        <x:v>74.14</x:v>
      </x:c>
      <x:c r="K33"/>
      <x:c r="L33" t="n">
        <x:v>149</x:v>
      </x:c>
      <x:c r="M33" t="str">
        <x:v>NGC</x:v>
      </x:c>
      <x:c r="N33" t="str">
        <x:v>Chichoki Mallian–Sheikhupura</x:v>
      </x:c>
    </x:row>
    <x:row r="34" ht="18" customHeight="1">
      <x:c r="A34" t="str">
        <x:v>B01-019</x:v>
      </x:c>
      <x:c r="B34" t="str">
        <x:v>Kurram Garhi</x:v>
      </x:c>
      <x:c r="C34" t="str">
        <x:v>Hydro</x:v>
      </x:c>
      <x:c r="D34" t="str">
        <x:v>Hydro</x:v>
      </x:c>
      <x:c r="E34" s="20" t="n">
        <x:v>4</x:v>
      </x:c>
      <x:c r="F34" s="20" t="n">
        <x:v>4</x:v>
      </x:c>
      <x:c r="G34" t="str">
        <x:v>Unspecified / distributed</x:v>
      </x:c>
      <x:c r="H34" t="str">
        <x:v>Not located in IGCEP</x:v>
      </x:c>
      <x:c r="I34"/>
      <x:c r="J34"/>
      <x:c r="K34"/>
      <x:c r="L34" t="n">
        <x:v>149</x:v>
      </x:c>
      <x:c r="M34" t="str">
        <x:v>NGC</x:v>
      </x:c>
      <x:c r="N34" t="str">
        <x:v>Plant coordinates are not provided in the IGCEP; plotted coordinates are indicative.</x:v>
      </x:c>
    </x:row>
    <x:row r="35" ht="18" customHeight="1">
      <x:c r="A35" t="str">
        <x:v>B01-020</x:v>
      </x:c>
      <x:c r="B35" t="str">
        <x:v>Renala</x:v>
      </x:c>
      <x:c r="C35" t="str">
        <x:v>Hydro</x:v>
      </x:c>
      <x:c r="D35" t="str">
        <x:v>Hydro</x:v>
      </x:c>
      <x:c r="E35" s="20" t="n">
        <x:v>1</x:v>
      </x:c>
      <x:c r="F35" s="20" t="n">
        <x:v>1</x:v>
      </x:c>
      <x:c r="G35" t="str">
        <x:v>Punjab</x:v>
      </x:c>
      <x:c r="H35" t="str">
        <x:v>Regional locality</x:v>
      </x:c>
      <x:c r="I35" t="n">
        <x:v>30.89</x:v>
      </x:c>
      <x:c r="J35" t="n">
        <x:v>73.6</x:v>
      </x:c>
      <x:c r="K35"/>
      <x:c r="L35" t="n">
        <x:v>149</x:v>
      </x:c>
      <x:c r="M35" t="str">
        <x:v>NGC</x:v>
      </x:c>
      <x:c r="N35" t="str">
        <x:v>Renala Khurd</x:v>
      </x:c>
    </x:row>
    <x:row r="36" ht="18" customHeight="1">
      <x:c r="A36" t="str">
        <x:v>B01-021</x:v>
      </x:c>
      <x:c r="B36" t="str">
        <x:v>Chitral</x:v>
      </x:c>
      <x:c r="C36" t="str">
        <x:v>Hydro</x:v>
      </x:c>
      <x:c r="D36" t="str">
        <x:v>Hydro</x:v>
      </x:c>
      <x:c r="E36" s="20" t="n">
        <x:v>1</x:v>
      </x:c>
      <x:c r="F36" s="20" t="n">
        <x:v>1</x:v>
      </x:c>
      <x:c r="G36" t="str">
        <x:v>Khyber Pakhtunkhwa</x:v>
      </x:c>
      <x:c r="H36" t="str">
        <x:v>Regional locality</x:v>
      </x:c>
      <x:c r="I36" t="n">
        <x:v>35.85</x:v>
      </x:c>
      <x:c r="J36" t="n">
        <x:v>71.79</x:v>
      </x:c>
      <x:c r="K36"/>
      <x:c r="L36" t="n">
        <x:v>149</x:v>
      </x:c>
      <x:c r="M36" t="str">
        <x:v>NGC</x:v>
      </x:c>
      <x:c r="N36" t="str">
        <x:v>Chitral</x:v>
      </x:c>
    </x:row>
    <x:row r="37" ht="18" customHeight="1">
      <x:c r="A37" t="str">
        <x:v>B01-022</x:v>
      </x:c>
      <x:c r="B37" t="str">
        <x:v>Jabban</x:v>
      </x:c>
      <x:c r="C37" t="str">
        <x:v>Hydro</x:v>
      </x:c>
      <x:c r="D37" t="str">
        <x:v>Hydro</x:v>
      </x:c>
      <x:c r="E37" s="20" t="n">
        <x:v>22</x:v>
      </x:c>
      <x:c r="F37" s="20" t="n">
        <x:v>22</x:v>
      </x:c>
      <x:c r="G37" t="str">
        <x:v>Khyber Pakhtunkhwa</x:v>
      </x:c>
      <x:c r="H37" t="str">
        <x:v>Cluster proxy</x:v>
      </x:c>
      <x:c r="I37" t="n">
        <x:v>34.51</x:v>
      </x:c>
      <x:c r="J37" t="n">
        <x:v>71.9</x:v>
      </x:c>
      <x:c r="K37"/>
      <x:c r="L37" t="n">
        <x:v>149</x:v>
      </x:c>
      <x:c r="M37" t="str">
        <x:v>NGC</x:v>
      </x:c>
      <x:c r="N37" t="str">
        <x:v>Dargai–Jabban</x:v>
      </x:c>
    </x:row>
    <x:row r="38" ht="18" customHeight="1">
      <x:c r="A38" t="str">
        <x:v>B01-023</x:v>
      </x:c>
      <x:c r="B38" t="str">
        <x:v>Guddu 747</x:v>
      </x:c>
      <x:c r="C38" t="str">
        <x:v>Gas</x:v>
      </x:c>
      <x:c r="D38" t="str">
        <x:v>Gas</x:v>
      </x:c>
      <x:c r="E38" s="20" t="n">
        <x:v>747</x:v>
      </x:c>
      <x:c r="F38" s="20" t="n">
        <x:v>486</x:v>
      </x:c>
      <x:c r="G38" t="str">
        <x:v>Sindh</x:v>
      </x:c>
      <x:c r="H38" t="str">
        <x:v>Site vicinity</x:v>
      </x:c>
      <x:c r="I38" t="n">
        <x:v>28.42</x:v>
      </x:c>
      <x:c r="J38" t="n">
        <x:v>69.7</x:v>
      </x:c>
      <x:c r="K38"/>
      <x:c r="L38" t="n">
        <x:v>149</x:v>
      </x:c>
      <x:c r="M38" t="str">
        <x:v>NGC</x:v>
      </x:c>
      <x:c r="N38" t="str">
        <x:v>Guddu–Kashmore</x:v>
      </x:c>
    </x:row>
    <x:row r="39" ht="18" customHeight="1">
      <x:c r="A39" t="str">
        <x:v>B01-024</x:v>
      </x:c>
      <x:c r="B39" t="str">
        <x:v>Nandipur</x:v>
      </x:c>
      <x:c r="C39" t="str">
        <x:v>RLNG</x:v>
      </x:c>
      <x:c r="D39" t="str">
        <x:v>RLNG</x:v>
      </x:c>
      <x:c r="E39" s="20" t="n">
        <x:v>525</x:v>
      </x:c>
      <x:c r="F39" s="20" t="n">
        <x:v>525</x:v>
      </x:c>
      <x:c r="G39" t="str">
        <x:v>Punjab</x:v>
      </x:c>
      <x:c r="H39" t="str">
        <x:v>Site vicinity</x:v>
      </x:c>
      <x:c r="I39" t="n">
        <x:v>32.19</x:v>
      </x:c>
      <x:c r="J39" t="n">
        <x:v>74.13</x:v>
      </x:c>
      <x:c r="K39"/>
      <x:c r="L39" t="n">
        <x:v>149</x:v>
      </x:c>
      <x:c r="M39" t="str">
        <x:v>NGC</x:v>
      </x:c>
      <x:c r="N39" t="str">
        <x:v>Nandipur–Gujranwala</x:v>
      </x:c>
    </x:row>
    <x:row r="40" ht="18" customHeight="1">
      <x:c r="A40" t="str">
        <x:v>B01-025</x:v>
      </x:c>
      <x:c r="B40" t="str">
        <x:v>CHASHNUPP - I</x:v>
      </x:c>
      <x:c r="C40" t="str">
        <x:v>Nuclear</x:v>
      </x:c>
      <x:c r="D40" t="str">
        <x:v>Nuclear</x:v>
      </x:c>
      <x:c r="E40" s="20" t="n">
        <x:v>325</x:v>
      </x:c>
      <x:c r="F40" s="20" t="n">
        <x:v>300</x:v>
      </x:c>
      <x:c r="G40" t="str">
        <x:v>Punjab</x:v>
      </x:c>
      <x:c r="H40" t="str">
        <x:v>Site vicinity</x:v>
      </x:c>
      <x:c r="I40" t="n">
        <x:v>32.43</x:v>
      </x:c>
      <x:c r="J40" t="n">
        <x:v>71.39</x:v>
      </x:c>
      <x:c r="K40"/>
      <x:c r="L40" t="n">
        <x:v>150</x:v>
      </x:c>
      <x:c r="M40" t="str">
        <x:v>NGC</x:v>
      </x:c>
      <x:c r="N40" t="str">
        <x:v>Chashma–Mianwali</x:v>
      </x:c>
    </x:row>
    <x:row r="41" ht="18" customHeight="1">
      <x:c r="A41" t="str">
        <x:v>B01-026</x:v>
      </x:c>
      <x:c r="B41" t="str">
        <x:v>CHASHNUPP-II</x:v>
      </x:c>
      <x:c r="C41" t="str">
        <x:v>Nuclear</x:v>
      </x:c>
      <x:c r="D41" t="str">
        <x:v>Nuclear</x:v>
      </x:c>
      <x:c r="E41" s="20" t="n">
        <x:v>325</x:v>
      </x:c>
      <x:c r="F41" s="20" t="n">
        <x:v>300</x:v>
      </x:c>
      <x:c r="G41" t="str">
        <x:v>Punjab</x:v>
      </x:c>
      <x:c r="H41" t="str">
        <x:v>Site vicinity</x:v>
      </x:c>
      <x:c r="I41" t="n">
        <x:v>32.43</x:v>
      </x:c>
      <x:c r="J41" t="n">
        <x:v>71.39</x:v>
      </x:c>
      <x:c r="K41"/>
      <x:c r="L41" t="n">
        <x:v>150</x:v>
      </x:c>
      <x:c r="M41" t="str">
        <x:v>NGC</x:v>
      </x:c>
      <x:c r="N41" t="str">
        <x:v>Chashma–Mianwali</x:v>
      </x:c>
    </x:row>
    <x:row r="42" ht="18" customHeight="1">
      <x:c r="A42" t="str">
        <x:v>B01-027</x:v>
      </x:c>
      <x:c r="B42" t="str">
        <x:v>CHASHNUPP-III</x:v>
      </x:c>
      <x:c r="C42" t="str">
        <x:v>Nuclear</x:v>
      </x:c>
      <x:c r="D42" t="str">
        <x:v>Nuclear</x:v>
      </x:c>
      <x:c r="E42" s="20" t="n">
        <x:v>340</x:v>
      </x:c>
      <x:c r="F42" s="20" t="n">
        <x:v>315</x:v>
      </x:c>
      <x:c r="G42" t="str">
        <x:v>Punjab</x:v>
      </x:c>
      <x:c r="H42" t="str">
        <x:v>Site vicinity</x:v>
      </x:c>
      <x:c r="I42" t="n">
        <x:v>32.43</x:v>
      </x:c>
      <x:c r="J42" t="n">
        <x:v>71.39</x:v>
      </x:c>
      <x:c r="K42"/>
      <x:c r="L42" t="n">
        <x:v>150</x:v>
      </x:c>
      <x:c r="M42" t="str">
        <x:v>NGC</x:v>
      </x:c>
      <x:c r="N42" t="str">
        <x:v>Chashma–Mianwali</x:v>
      </x:c>
    </x:row>
    <x:row r="43" ht="18" customHeight="1">
      <x:c r="A43" t="str">
        <x:v>B01-028</x:v>
      </x:c>
      <x:c r="B43" t="str">
        <x:v>CHASHNUPP-IV</x:v>
      </x:c>
      <x:c r="C43" t="str">
        <x:v>Nuclear</x:v>
      </x:c>
      <x:c r="D43" t="str">
        <x:v>Nuclear</x:v>
      </x:c>
      <x:c r="E43" s="20" t="n">
        <x:v>340</x:v>
      </x:c>
      <x:c r="F43" s="20" t="n">
        <x:v>315</x:v>
      </x:c>
      <x:c r="G43" t="str">
        <x:v>Punjab</x:v>
      </x:c>
      <x:c r="H43" t="str">
        <x:v>Site vicinity</x:v>
      </x:c>
      <x:c r="I43" t="n">
        <x:v>32.43</x:v>
      </x:c>
      <x:c r="J43" t="n">
        <x:v>71.39</x:v>
      </x:c>
      <x:c r="K43"/>
      <x:c r="L43" t="n">
        <x:v>150</x:v>
      </x:c>
      <x:c r="M43" t="str">
        <x:v>NGC</x:v>
      </x:c>
      <x:c r="N43" t="str">
        <x:v>Chashma–Mianwali</x:v>
      </x:c>
    </x:row>
    <x:row r="44" ht="18" customHeight="1">
      <x:c r="A44" t="str">
        <x:v>B01-029</x:v>
      </x:c>
      <x:c r="B44" t="str">
        <x:v>K-2</x:v>
      </x:c>
      <x:c r="C44" t="str">
        <x:v>Nuclear</x:v>
      </x:c>
      <x:c r="D44" t="str">
        <x:v>Nuclear</x:v>
      </x:c>
      <x:c r="E44" s="20" t="n">
        <x:v>1100</x:v>
      </x:c>
      <x:c r="F44" s="20" t="n">
        <x:v>1030</x:v>
      </x:c>
      <x:c r="G44" t="str">
        <x:v>Sindh</x:v>
      </x:c>
      <x:c r="H44" t="str">
        <x:v>Cluster proxy</x:v>
      </x:c>
      <x:c r="I44" t="n">
        <x:v>24.82</x:v>
      </x:c>
      <x:c r="J44" t="n">
        <x:v>67.35</x:v>
      </x:c>
      <x:c r="K44"/>
      <x:c r="L44" t="n">
        <x:v>150</x:v>
      </x:c>
      <x:c r="M44" t="str">
        <x:v>NGC</x:v>
      </x:c>
      <x:c r="N44" t="str">
        <x:v>Karachi power complex</x:v>
      </x:c>
    </x:row>
    <x:row r="45" ht="18" customHeight="1">
      <x:c r="A45" t="str">
        <x:v>B01-030</x:v>
      </x:c>
      <x:c r="B45" t="str">
        <x:v>K-3</x:v>
      </x:c>
      <x:c r="C45" t="str">
        <x:v>Nuclear</x:v>
      </x:c>
      <x:c r="D45" t="str">
        <x:v>Nuclear</x:v>
      </x:c>
      <x:c r="E45" s="20" t="n">
        <x:v>1100</x:v>
      </x:c>
      <x:c r="F45" s="20" t="n">
        <x:v>1030</x:v>
      </x:c>
      <x:c r="G45" t="str">
        <x:v>Sindh</x:v>
      </x:c>
      <x:c r="H45" t="str">
        <x:v>Cluster proxy</x:v>
      </x:c>
      <x:c r="I45" t="n">
        <x:v>24.82</x:v>
      </x:c>
      <x:c r="J45" t="n">
        <x:v>67.35</x:v>
      </x:c>
      <x:c r="K45"/>
      <x:c r="L45" t="n">
        <x:v>150</x:v>
      </x:c>
      <x:c r="M45" t="str">
        <x:v>NGC</x:v>
      </x:c>
      <x:c r="N45" t="str">
        <x:v>Karachi power complex</x:v>
      </x:c>
    </x:row>
    <x:row r="46" ht="18" customHeight="1">
      <x:c r="A46" t="str">
        <x:v>B01-031</x:v>
      </x:c>
      <x:c r="B46" t="str">
        <x:v>Jagran - I</x:v>
      </x:c>
      <x:c r="C46" t="str">
        <x:v>Hydro</x:v>
      </x:c>
      <x:c r="D46" t="str">
        <x:v>Hydro</x:v>
      </x:c>
      <x:c r="E46" s="20" t="n">
        <x:v>30</x:v>
      </x:c>
      <x:c r="F46" s="20" t="n">
        <x:v>30</x:v>
      </x:c>
      <x:c r="G46" t="str">
        <x:v>Azad Jammu &amp; Kashmir</x:v>
      </x:c>
      <x:c r="H46" t="str">
        <x:v>Regional locality</x:v>
      </x:c>
      <x:c r="I46" t="n">
        <x:v>34.74</x:v>
      </x:c>
      <x:c r="J46" t="n">
        <x:v>74.09</x:v>
      </x:c>
      <x:c r="K46"/>
      <x:c r="L46" t="n">
        <x:v>150</x:v>
      </x:c>
      <x:c r="M46" t="str">
        <x:v>NGC</x:v>
      </x:c>
      <x:c r="N46" t="str">
        <x:v>Jagran–Neelum Valley</x:v>
      </x:c>
    </x:row>
    <x:row r="47" ht="18" customHeight="1">
      <x:c r="A47" t="str">
        <x:v>B01-032</x:v>
      </x:c>
      <x:c r="B47" t="str">
        <x:v>Malakand - III</x:v>
      </x:c>
      <x:c r="C47" t="str">
        <x:v>Hydro</x:v>
      </x:c>
      <x:c r="D47" t="str">
        <x:v>Hydro</x:v>
      </x:c>
      <x:c r="E47" s="20" t="n">
        <x:v>81</x:v>
      </x:c>
      <x:c r="F47" s="20" t="n">
        <x:v>81</x:v>
      </x:c>
      <x:c r="G47" t="str">
        <x:v>Khyber Pakhtunkhwa</x:v>
      </x:c>
      <x:c r="H47" t="str">
        <x:v>Site vicinity</x:v>
      </x:c>
      <x:c r="I47" t="n">
        <x:v>34.53</x:v>
      </x:c>
      <x:c r="J47" t="n">
        <x:v>71.88</x:v>
      </x:c>
      <x:c r="K47"/>
      <x:c r="L47" t="n">
        <x:v>150</x:v>
      </x:c>
      <x:c r="M47" t="str">
        <x:v>NGC</x:v>
      </x:c>
      <x:c r="N47" t="str">
        <x:v>Malakand</x:v>
      </x:c>
    </x:row>
    <x:row r="48" ht="18" customHeight="1">
      <x:c r="A48" t="str">
        <x:v>B01-033</x:v>
      </x:c>
      <x:c r="B48" t="str">
        <x:v>New Bong</x:v>
      </x:c>
      <x:c r="C48" t="str">
        <x:v>Hydro</x:v>
      </x:c>
      <x:c r="D48" t="str">
        <x:v>Hydro</x:v>
      </x:c>
      <x:c r="E48" s="20" t="n">
        <x:v>84</x:v>
      </x:c>
      <x:c r="F48" s="20" t="n">
        <x:v>84</x:v>
      </x:c>
      <x:c r="G48" t="str">
        <x:v>Azad Jammu &amp; Kashmir</x:v>
      </x:c>
      <x:c r="H48" t="str">
        <x:v>Site vicinity</x:v>
      </x:c>
      <x:c r="I48" t="n">
        <x:v>33.12</x:v>
      </x:c>
      <x:c r="J48" t="n">
        <x:v>73.65</x:v>
      </x:c>
      <x:c r="K48"/>
      <x:c r="L48" t="n">
        <x:v>150</x:v>
      </x:c>
      <x:c r="M48" t="str">
        <x:v>NGC</x:v>
      </x:c>
      <x:c r="N48" t="str">
        <x:v>Mangla–Mirpur</x:v>
      </x:c>
    </x:row>
    <x:row r="49" ht="18" customHeight="1">
      <x:c r="A49" t="str">
        <x:v>B01-034</x:v>
      </x:c>
      <x:c r="B49" t="str">
        <x:v>Daral Khwar</x:v>
      </x:c>
      <x:c r="C49" t="str">
        <x:v>Hydro</x:v>
      </x:c>
      <x:c r="D49" t="str">
        <x:v>Hydro</x:v>
      </x:c>
      <x:c r="E49" s="20" t="n">
        <x:v>37</x:v>
      </x:c>
      <x:c r="F49" s="20" t="n">
        <x:v>37</x:v>
      </x:c>
      <x:c r="G49" t="str">
        <x:v>Khyber Pakhtunkhwa</x:v>
      </x:c>
      <x:c r="H49" t="str">
        <x:v>Regional locality</x:v>
      </x:c>
      <x:c r="I49" t="n">
        <x:v>35.1</x:v>
      </x:c>
      <x:c r="J49" t="n">
        <x:v>72.5</x:v>
      </x:c>
      <x:c r="K49"/>
      <x:c r="L49" t="n">
        <x:v>150</x:v>
      </x:c>
      <x:c r="M49" t="str">
        <x:v>NGC</x:v>
      </x:c>
      <x:c r="N49" t="str">
        <x:v>Daral Khwar–Swat</x:v>
      </x:c>
    </x:row>
    <x:row r="50" ht="18" customHeight="1">
      <x:c r="A50" t="str">
        <x:v>B01-035</x:v>
      </x:c>
      <x:c r="B50" t="str">
        <x:v>Gul Pur</x:v>
      </x:c>
      <x:c r="C50" t="str">
        <x:v>Hydro</x:v>
      </x:c>
      <x:c r="D50" t="str">
        <x:v>Hydro</x:v>
      </x:c>
      <x:c r="E50" s="20" t="n">
        <x:v>103</x:v>
      </x:c>
      <x:c r="F50" s="20" t="n">
        <x:v>103</x:v>
      </x:c>
      <x:c r="G50" t="str">
        <x:v>Azad Jammu &amp; Kashmir</x:v>
      </x:c>
      <x:c r="H50" t="str">
        <x:v>Regional locality</x:v>
      </x:c>
      <x:c r="I50" t="n">
        <x:v>33.37</x:v>
      </x:c>
      <x:c r="J50" t="n">
        <x:v>73.94</x:v>
      </x:c>
      <x:c r="K50"/>
      <x:c r="L50" t="n">
        <x:v>150</x:v>
      </x:c>
      <x:c r="M50" t="str">
        <x:v>NGC</x:v>
      </x:c>
      <x:c r="N50" t="str">
        <x:v>Gulpur–Kotli</x:v>
      </x:c>
    </x:row>
    <x:row r="51" ht="18" customHeight="1">
      <x:c r="A51" t="str">
        <x:v>B01-036</x:v>
      </x:c>
      <x:c r="B51" t="str">
        <x:v>Patrind</x:v>
      </x:c>
      <x:c r="C51" t="str">
        <x:v>Hydro</x:v>
      </x:c>
      <x:c r="D51" t="str">
        <x:v>Hydro</x:v>
      </x:c>
      <x:c r="E51" s="20" t="n">
        <x:v>150</x:v>
      </x:c>
      <x:c r="F51" s="20" t="n">
        <x:v>149</x:v>
      </x:c>
      <x:c r="G51" t="str">
        <x:v>Azad Jammu &amp; Kashmir</x:v>
      </x:c>
      <x:c r="H51" t="str">
        <x:v>Site vicinity</x:v>
      </x:c>
      <x:c r="I51" t="n">
        <x:v>34.4</x:v>
      </x:c>
      <x:c r="J51" t="n">
        <x:v>73.45</x:v>
      </x:c>
      <x:c r="K51"/>
      <x:c r="L51" t="n">
        <x:v>150</x:v>
      </x:c>
      <x:c r="M51" t="str">
        <x:v>NGC</x:v>
      </x:c>
      <x:c r="N51" t="str">
        <x:v>Patrind–Muzaffarabad</x:v>
      </x:c>
    </x:row>
    <x:row r="52" ht="18" customHeight="1">
      <x:c r="A52" t="str">
        <x:v>B01-037</x:v>
      </x:c>
      <x:c r="B52" t="str">
        <x:v>Ranolia</x:v>
      </x:c>
      <x:c r="C52" t="str">
        <x:v>Hydro</x:v>
      </x:c>
      <x:c r="D52" t="str">
        <x:v>Hydro</x:v>
      </x:c>
      <x:c r="E52" s="20" t="n">
        <x:v>18</x:v>
      </x:c>
      <x:c r="F52" s="20" t="n">
        <x:v>17</x:v>
      </x:c>
      <x:c r="G52" t="str">
        <x:v>Khyber Pakhtunkhwa</x:v>
      </x:c>
      <x:c r="H52" t="str">
        <x:v>Regional locality</x:v>
      </x:c>
      <x:c r="I52" t="n">
        <x:v>35.02</x:v>
      </x:c>
      <x:c r="J52" t="n">
        <x:v>73.06</x:v>
      </x:c>
      <x:c r="K52"/>
      <x:c r="L52" t="n">
        <x:v>150</x:v>
      </x:c>
      <x:c r="M52" t="str">
        <x:v>NGC</x:v>
      </x:c>
      <x:c r="N52" t="str">
        <x:v>Ranolia–Kohistan</x:v>
      </x:c>
    </x:row>
    <x:row r="53" ht="18" customHeight="1">
      <x:c r="A53" t="str">
        <x:v>B01-038</x:v>
      </x:c>
      <x:c r="B53" t="str">
        <x:v>Suki Kinari</x:v>
      </x:c>
      <x:c r="C53" t="str">
        <x:v>Hydro</x:v>
      </x:c>
      <x:c r="D53" t="str">
        <x:v>Hydro</x:v>
      </x:c>
      <x:c r="E53" s="20" t="n">
        <x:v>884</x:v>
      </x:c>
      <x:c r="F53" s="20" t="n">
        <x:v>883</x:v>
      </x:c>
      <x:c r="G53" t="str">
        <x:v>Khyber Pakhtunkhwa</x:v>
      </x:c>
      <x:c r="H53" t="str">
        <x:v>Site vicinity</x:v>
      </x:c>
      <x:c r="I53" t="n">
        <x:v>34.68</x:v>
      </x:c>
      <x:c r="J53" t="n">
        <x:v>73.43</x:v>
      </x:c>
      <x:c r="K53"/>
      <x:c r="L53" t="n">
        <x:v>150</x:v>
      </x:c>
      <x:c r="M53" t="str">
        <x:v>NGC</x:v>
      </x:c>
      <x:c r="N53" t="str">
        <x:v>Suki Kinari–Kaghan</x:v>
      </x:c>
    </x:row>
    <x:row r="54" ht="18" customHeight="1">
      <x:c r="A54" t="str">
        <x:v>B01-039</x:v>
      </x:c>
      <x:c r="B54" t="str">
        <x:v>Karot</x:v>
      </x:c>
      <x:c r="C54" t="str">
        <x:v>Hydro</x:v>
      </x:c>
      <x:c r="D54" t="str">
        <x:v>Hydro</x:v>
      </x:c>
      <x:c r="E54" s="20" t="n">
        <x:v>720</x:v>
      </x:c>
      <x:c r="F54" s="20" t="n">
        <x:v>713</x:v>
      </x:c>
      <x:c r="G54" t="str">
        <x:v>Azad Jammu &amp; Kashmir</x:v>
      </x:c>
      <x:c r="H54" t="str">
        <x:v>Site vicinity</x:v>
      </x:c>
      <x:c r="I54" t="n">
        <x:v>33.6</x:v>
      </x:c>
      <x:c r="J54" t="n">
        <x:v>73.69</x:v>
      </x:c>
      <x:c r="K54"/>
      <x:c r="L54" t="n">
        <x:v>150</x:v>
      </x:c>
      <x:c r="M54" t="str">
        <x:v>NGC</x:v>
      </x:c>
      <x:c r="N54" t="str">
        <x:v>Karot–Jhelum River</x:v>
      </x:c>
    </x:row>
    <x:row r="55" ht="18" customHeight="1">
      <x:c r="A55" t="str">
        <x:v>B01-040</x:v>
      </x:c>
      <x:c r="B55" t="str">
        <x:v>AGL</x:v>
      </x:c>
      <x:c r="C55" t="str">
        <x:v>RFO</x:v>
      </x:c>
      <x:c r="D55" t="str">
        <x:v>RFO</x:v>
      </x:c>
      <x:c r="E55" s="20" t="n">
        <x:v>165</x:v>
      </x:c>
      <x:c r="F55" s="20" t="n">
        <x:v>156</x:v>
      </x:c>
      <x:c r="G55" t="str">
        <x:v>Punjab</x:v>
      </x:c>
      <x:c r="H55" t="str">
        <x:v>Not located in IGCEP</x:v>
      </x:c>
      <x:c r="I55"/>
      <x:c r="J55"/>
      <x:c r="K55" t="n">
        <x:v>2034</x:v>
      </x:c>
      <x:c r="L55" t="n">
        <x:v>150</x:v>
      </x:c>
      <x:c r="M55" t="str">
        <x:v>NGC</x:v>
      </x:c>
      <x:c r="N55" t="str">
        <x:v>Region inferred from project/agency context; site not geocoded.</x:v>
      </x:c>
    </x:row>
    <x:row r="56" ht="18" customHeight="1">
      <x:c r="A56" t="str">
        <x:v>B01-041</x:v>
      </x:c>
      <x:c r="B56" t="str">
        <x:v>Balloki</x:v>
      </x:c>
      <x:c r="C56" t="str">
        <x:v>RLNG</x:v>
      </x:c>
      <x:c r="D56" t="str">
        <x:v>RLNG</x:v>
      </x:c>
      <x:c r="E56" s="20" t="n">
        <x:v>1223</x:v>
      </x:c>
      <x:c r="F56" s="20" t="n">
        <x:v>1157</x:v>
      </x:c>
      <x:c r="G56" t="str">
        <x:v>Punjab</x:v>
      </x:c>
      <x:c r="H56" t="str">
        <x:v>Site vicinity</x:v>
      </x:c>
      <x:c r="I56" t="n">
        <x:v>31.21</x:v>
      </x:c>
      <x:c r="J56" t="n">
        <x:v>73.86</x:v>
      </x:c>
      <x:c r="K56"/>
      <x:c r="L56" t="n">
        <x:v>150</x:v>
      </x:c>
      <x:c r="M56" t="str">
        <x:v>NGC</x:v>
      </x:c>
      <x:c r="N56" t="str">
        <x:v>Balloki–Kasur</x:v>
      </x:c>
    </x:row>
    <x:row r="57" ht="18" customHeight="1">
      <x:c r="A57" t="str">
        <x:v>B01-042</x:v>
      </x:c>
      <x:c r="B57" t="str">
        <x:v>Bhikki</x:v>
      </x:c>
      <x:c r="C57" t="str">
        <x:v>RLNG</x:v>
      </x:c>
      <x:c r="D57" t="str">
        <x:v>RLNG</x:v>
      </x:c>
      <x:c r="E57" s="20" t="n">
        <x:v>1186</x:v>
      </x:c>
      <x:c r="F57" s="20" t="n">
        <x:v>1130</x:v>
      </x:c>
      <x:c r="G57" t="str">
        <x:v>Punjab</x:v>
      </x:c>
      <x:c r="H57" t="str">
        <x:v>Site vicinity</x:v>
      </x:c>
      <x:c r="I57" t="n">
        <x:v>31.74</x:v>
      </x:c>
      <x:c r="J57" t="n">
        <x:v>73.96</x:v>
      </x:c>
      <x:c r="K57"/>
      <x:c r="L57" t="n">
        <x:v>150</x:v>
      </x:c>
      <x:c r="M57" t="str">
        <x:v>NGC</x:v>
      </x:c>
      <x:c r="N57" t="str">
        <x:v>Bhikki–Sheikhupura</x:v>
      </x:c>
    </x:row>
    <x:row r="58" ht="18" customHeight="1">
      <x:c r="A58" t="str">
        <x:v>B01-043</x:v>
      </x:c>
      <x:c r="B58" t="str">
        <x:v>China HUBCO</x:v>
      </x:c>
      <x:c r="C58" t="str">
        <x:v>Coal - Imported</x:v>
      </x:c>
      <x:c r="D58" t="str">
        <x:v>Imp. Coal</x:v>
      </x:c>
      <x:c r="E58" s="20" t="n">
        <x:v>1320</x:v>
      </x:c>
      <x:c r="F58" s="20" t="n">
        <x:v>1249</x:v>
      </x:c>
      <x:c r="G58" t="str">
        <x:v>Balochistan</x:v>
      </x:c>
      <x:c r="H58" t="str">
        <x:v>Site vicinity</x:v>
      </x:c>
      <x:c r="I58" t="n">
        <x:v>25.14</x:v>
      </x:c>
      <x:c r="J58" t="n">
        <x:v>66.74</x:v>
      </x:c>
      <x:c r="K58"/>
      <x:c r="L58" t="n">
        <x:v>150</x:v>
      </x:c>
      <x:c r="M58" t="str">
        <x:v>NGC</x:v>
      </x:c>
      <x:c r="N58" t="str">
        <x:v>Hub coastal power complex</x:v>
      </x:c>
    </x:row>
    <x:row r="59" ht="18" customHeight="1">
      <x:c r="A59" t="str">
        <x:v>B01-044</x:v>
      </x:c>
      <x:c r="B59" t="str">
        <x:v>Engro</x:v>
      </x:c>
      <x:c r="C59" t="str">
        <x:v>Gas</x:v>
      </x:c>
      <x:c r="D59" t="str">
        <x:v>Gas</x:v>
      </x:c>
      <x:c r="E59" s="20" t="n">
        <x:v>217</x:v>
      </x:c>
      <x:c r="F59" s="20" t="n">
        <x:v>215</x:v>
      </x:c>
      <x:c r="G59" t="str">
        <x:v>Sindh</x:v>
      </x:c>
      <x:c r="H59" t="str">
        <x:v>Cluster proxy</x:v>
      </x:c>
      <x:c r="I59" t="n">
        <x:v>28.02</x:v>
      </x:c>
      <x:c r="J59" t="n">
        <x:v>69.54</x:v>
      </x:c>
      <x:c r="K59" t="n">
        <x:v>2035</x:v>
      </x:c>
      <x:c r="L59" t="n">
        <x:v>150</x:v>
      </x:c>
      <x:c r="M59" t="str">
        <x:v>NGC</x:v>
      </x:c>
      <x:c r="N59" t="str">
        <x:v>Ghotki–Daharki gas corridor</x:v>
      </x:c>
    </x:row>
    <x:row r="60" ht="18" customHeight="1">
      <x:c r="A60" t="str">
        <x:v>B01-045</x:v>
      </x:c>
      <x:c r="B60" t="str">
        <x:v>Engro Thar</x:v>
      </x:c>
      <x:c r="C60" t="str">
        <x:v>Coal - Local</x:v>
      </x:c>
      <x:c r="D60" t="str">
        <x:v>Local Coal</x:v>
      </x:c>
      <x:c r="E60" s="20" t="n">
        <x:v>660</x:v>
      </x:c>
      <x:c r="F60" s="20" t="n">
        <x:v>602</x:v>
      </x:c>
      <x:c r="G60" t="str">
        <x:v>Sindh</x:v>
      </x:c>
      <x:c r="H60" t="str">
        <x:v>Site vicinity</x:v>
      </x:c>
      <x:c r="I60" t="n">
        <x:v>24.64</x:v>
      </x:c>
      <x:c r="J60" t="n">
        <x:v>70.22</x:v>
      </x:c>
      <x:c r="K60"/>
      <x:c r="L60" t="n">
        <x:v>150</x:v>
      </x:c>
      <x:c r="M60" t="str">
        <x:v>NGC</x:v>
      </x:c>
      <x:c r="N60" t="str">
        <x:v>Thar coalfield</x:v>
      </x:c>
    </x:row>
    <x:row r="61" ht="18" customHeight="1">
      <x:c r="A61" t="str">
        <x:v>B01-046</x:v>
      </x:c>
      <x:c r="B61" t="str">
        <x:v>FKPCL</x:v>
      </x:c>
      <x:c r="C61" t="str">
        <x:v>RLNG</x:v>
      </x:c>
      <x:c r="D61" t="str">
        <x:v>RLNG</x:v>
      </x:c>
      <x:c r="E61" s="20" t="n">
        <x:v>157</x:v>
      </x:c>
      <x:c r="F61" s="20" t="n">
        <x:v>151</x:v>
      </x:c>
      <x:c r="G61" t="str">
        <x:v>Punjab</x:v>
      </x:c>
      <x:c r="H61" t="str">
        <x:v>Regional locality</x:v>
      </x:c>
      <x:c r="I61" t="n">
        <x:v>30.4</x:v>
      </x:c>
      <x:c r="J61" t="n">
        <x:v>71.87</x:v>
      </x:c>
      <x:c r="K61" t="n">
        <x:v>2032</x:v>
      </x:c>
      <x:c r="L61" t="n">
        <x:v>150</x:v>
      </x:c>
      <x:c r="M61" t="str">
        <x:v>NGC</x:v>
      </x:c>
      <x:c r="N61" t="str">
        <x:v>Kabirwala–Khanewal</x:v>
      </x:c>
    </x:row>
    <x:row r="62" ht="18" customHeight="1">
      <x:c r="A62" t="str">
        <x:v>B01-047</x:v>
      </x:c>
      <x:c r="B62" t="str">
        <x:v>Foundation</x:v>
      </x:c>
      <x:c r="C62" t="str">
        <x:v>Gas</x:v>
      </x:c>
      <x:c r="D62" t="str">
        <x:v>Gas</x:v>
      </x:c>
      <x:c r="E62" s="20" t="n">
        <x:v>178</x:v>
      </x:c>
      <x:c r="F62" s="20" t="n">
        <x:v>174</x:v>
      </x:c>
      <x:c r="G62" t="str">
        <x:v>Sindh</x:v>
      </x:c>
      <x:c r="H62" t="str">
        <x:v>Cluster proxy</x:v>
      </x:c>
      <x:c r="I62" t="n">
        <x:v>28.02</x:v>
      </x:c>
      <x:c r="J62" t="n">
        <x:v>69.54</x:v>
      </x:c>
      <x:c r="K62"/>
      <x:c r="L62" t="n">
        <x:v>150</x:v>
      </x:c>
      <x:c r="M62" t="str">
        <x:v>NGC</x:v>
      </x:c>
      <x:c r="N62" t="str">
        <x:v>Ghotki–Daharki gas corridor</x:v>
      </x:c>
    </x:row>
    <x:row r="63" ht="18" customHeight="1">
      <x:c r="A63" t="str">
        <x:v>B01-048</x:v>
      </x:c>
      <x:c r="B63" t="str">
        <x:v>Halmore</x:v>
      </x:c>
      <x:c r="C63" t="str">
        <x:v>RLNG</x:v>
      </x:c>
      <x:c r="D63" t="str">
        <x:v>RLNG</x:v>
      </x:c>
      <x:c r="E63" s="20" t="n">
        <x:v>215</x:v>
      </x:c>
      <x:c r="F63" s="20" t="n">
        <x:v>200</x:v>
      </x:c>
      <x:c r="G63" t="str">
        <x:v>Punjab</x:v>
      </x:c>
      <x:c r="H63" t="str">
        <x:v>Not located in IGCEP</x:v>
      </x:c>
      <x:c r="I63"/>
      <x:c r="J63"/>
      <x:c r="K63"/>
      <x:c r="L63" t="n">
        <x:v>150</x:v>
      </x:c>
      <x:c r="M63" t="str">
        <x:v>NGC</x:v>
      </x:c>
      <x:c r="N63" t="str">
        <x:v>Region inferred from project/agency context; site not geocoded.</x:v>
      </x:c>
    </x:row>
    <x:row r="64" ht="18" customHeight="1">
      <x:c r="A64" t="str">
        <x:v>B01-049</x:v>
      </x:c>
      <x:c r="B64" t="str">
        <x:v>Haveli</x:v>
      </x:c>
      <x:c r="C64" t="str">
        <x:v>RLNG</x:v>
      </x:c>
      <x:c r="D64" t="str">
        <x:v>RLNG</x:v>
      </x:c>
      <x:c r="E64" s="20" t="n">
        <x:v>1231</x:v>
      </x:c>
      <x:c r="F64" s="20" t="n">
        <x:v>1180</x:v>
      </x:c>
      <x:c r="G64" t="str">
        <x:v>Punjab</x:v>
      </x:c>
      <x:c r="H64" t="str">
        <x:v>Not located in IGCEP</x:v>
      </x:c>
      <x:c r="I64"/>
      <x:c r="J64"/>
      <x:c r="K64"/>
      <x:c r="L64" t="n">
        <x:v>150</x:v>
      </x:c>
      <x:c r="M64" t="str">
        <x:v>NGC</x:v>
      </x:c>
      <x:c r="N64" t="str">
        <x:v>Region inferred from project/agency context; site not geocoded.</x:v>
      </x:c>
    </x:row>
    <x:row r="65" ht="18" customHeight="1">
      <x:c r="A65" t="str">
        <x:v>B01-050</x:v>
      </x:c>
      <x:c r="B65" t="str">
        <x:v>HuB N</x:v>
      </x:c>
      <x:c r="C65" t="str">
        <x:v>RFO</x:v>
      </x:c>
      <x:c r="D65" t="str">
        <x:v>RFO</x:v>
      </x:c>
      <x:c r="E65" s="20" t="n">
        <x:v>219</x:v>
      </x:c>
      <x:c r="F65" s="20" t="n">
        <x:v>216</x:v>
      </x:c>
      <x:c r="G65" t="str">
        <x:v>Balochistan</x:v>
      </x:c>
      <x:c r="H65" t="str">
        <x:v>Site vicinity</x:v>
      </x:c>
      <x:c r="I65" t="n">
        <x:v>25.14</x:v>
      </x:c>
      <x:c r="J65" t="n">
        <x:v>66.74</x:v>
      </x:c>
      <x:c r="K65"/>
      <x:c r="L65" t="n">
        <x:v>150</x:v>
      </x:c>
      <x:c r="M65" t="str">
        <x:v>NGC</x:v>
      </x:c>
      <x:c r="N65" t="str">
        <x:v>Hub coastal power complex</x:v>
      </x:c>
    </x:row>
    <x:row r="66" ht="18" customHeight="1">
      <x:c r="A66" t="str">
        <x:v>B01-051</x:v>
      </x:c>
      <x:c r="B66" t="str">
        <x:v>KAPCO</x:v>
      </x:c>
      <x:c r="C66" t="str">
        <x:v>RLNG</x:v>
      </x:c>
      <x:c r="D66" t="str">
        <x:v>RLNG</x:v>
      </x:c>
      <x:c r="E66" s="20" t="n">
        <x:v>495</x:v>
      </x:c>
      <x:c r="F66" s="20" t="n">
        <x:v>495</x:v>
      </x:c>
      <x:c r="G66" t="str">
        <x:v>Punjab</x:v>
      </x:c>
      <x:c r="H66" t="str">
        <x:v>Site vicinity</x:v>
      </x:c>
      <x:c r="I66" t="n">
        <x:v>30.47</x:v>
      </x:c>
      <x:c r="J66" t="n">
        <x:v>70.96</x:v>
      </x:c>
      <x:c r="K66" t="n">
        <x:v>2029</x:v>
      </x:c>
      <x:c r="L66" t="n">
        <x:v>150</x:v>
      </x:c>
      <x:c r="M66" t="str">
        <x:v>NGC</x:v>
      </x:c>
      <x:c r="N66" t="str">
        <x:v>Kot Addu</x:v>
      </x:c>
    </x:row>
    <x:row r="67" ht="18" customHeight="1">
      <x:c r="A67" t="str">
        <x:v>B01-052</x:v>
      </x:c>
      <x:c r="B67" t="str">
        <x:v>Kohinoor</x:v>
      </x:c>
      <x:c r="C67" t="str">
        <x:v>RFO</x:v>
      </x:c>
      <x:c r="D67" t="str">
        <x:v>RFO</x:v>
      </x:c>
      <x:c r="E67" s="20" t="n">
        <x:v>131</x:v>
      </x:c>
      <x:c r="F67" s="20" t="n">
        <x:v>124</x:v>
      </x:c>
      <x:c r="G67" t="str">
        <x:v>Punjab</x:v>
      </x:c>
      <x:c r="H67" t="str">
        <x:v>Not located in IGCEP</x:v>
      </x:c>
      <x:c r="I67"/>
      <x:c r="J67"/>
      <x:c r="K67" t="n">
        <x:v>2028</x:v>
      </x:c>
      <x:c r="L67" t="n">
        <x:v>150</x:v>
      </x:c>
      <x:c r="M67" t="str">
        <x:v>NGC</x:v>
      </x:c>
      <x:c r="N67" t="str">
        <x:v>Region inferred from project/agency context; site not geocoded.</x:v>
      </x:c>
    </x:row>
    <x:row r="68" ht="18" customHeight="1">
      <x:c r="A68" t="str">
        <x:v>B01-053</x:v>
      </x:c>
      <x:c r="B68" t="str">
        <x:v>Liberty</x:v>
      </x:c>
      <x:c r="C68" t="str">
        <x:v>Gas</x:v>
      </x:c>
      <x:c r="D68" t="str">
        <x:v>Gas</x:v>
      </x:c>
      <x:c r="E68" s="20" t="n">
        <x:v>235</x:v>
      </x:c>
      <x:c r="F68" s="20" t="n">
        <x:v>222</x:v>
      </x:c>
      <x:c r="G68" t="str">
        <x:v>Sindh</x:v>
      </x:c>
      <x:c r="H68" t="str">
        <x:v>Cluster proxy</x:v>
      </x:c>
      <x:c r="I68" t="n">
        <x:v>28.02</x:v>
      </x:c>
      <x:c r="J68" t="n">
        <x:v>69.54</x:v>
      </x:c>
      <x:c r="K68" t="n">
        <x:v>2028</x:v>
      </x:c>
      <x:c r="L68" t="n">
        <x:v>150</x:v>
      </x:c>
      <x:c r="M68" t="str">
        <x:v>NGC</x:v>
      </x:c>
      <x:c r="N68" t="str">
        <x:v>Ghotki–Daharki gas corridor</x:v>
      </x:c>
    </x:row>
    <x:row r="69" ht="18" customHeight="1">
      <x:c r="A69" t="str">
        <x:v>B01-054</x:v>
      </x:c>
      <x:c r="B69" t="str">
        <x:v>Liberty Tech</x:v>
      </x:c>
      <x:c r="C69" t="str">
        <x:v>RFO</x:v>
      </x:c>
      <x:c r="D69" t="str">
        <x:v>RFO</x:v>
      </x:c>
      <x:c r="E69" s="20" t="n">
        <x:v>200</x:v>
      </x:c>
      <x:c r="F69" s="20" t="n">
        <x:v>196.139</x:v>
      </x:c>
      <x:c r="G69" t="str">
        <x:v>Punjab</x:v>
      </x:c>
      <x:c r="H69" t="str">
        <x:v>Not located in IGCEP</x:v>
      </x:c>
      <x:c r="I69"/>
      <x:c r="J69"/>
      <x:c r="K69"/>
      <x:c r="L69" t="n">
        <x:v>150</x:v>
      </x:c>
      <x:c r="M69" t="str">
        <x:v>NGC</x:v>
      </x:c>
      <x:c r="N69" t="str">
        <x:v>Region inferred from project/agency context; site not geocoded.</x:v>
      </x:c>
    </x:row>
    <x:row r="70" ht="18" customHeight="1">
      <x:c r="A70" t="str">
        <x:v>B01-055</x:v>
      </x:c>
      <x:c r="B70" t="str">
        <x:v>Nishat C</x:v>
      </x:c>
      <x:c r="C70" t="str">
        <x:v>RFO</x:v>
      </x:c>
      <x:c r="D70" t="str">
        <x:v>RFO</x:v>
      </x:c>
      <x:c r="E70" s="20" t="n">
        <x:v>200</x:v>
      </x:c>
      <x:c r="F70" s="20" t="n">
        <x:v>196</x:v>
      </x:c>
      <x:c r="G70" t="str">
        <x:v>Punjab</x:v>
      </x:c>
      <x:c r="H70" t="str">
        <x:v>Not located in IGCEP</x:v>
      </x:c>
      <x:c r="I70"/>
      <x:c r="J70"/>
      <x:c r="K70"/>
      <x:c r="L70" t="n">
        <x:v>151</x:v>
      </x:c>
      <x:c r="M70" t="str">
        <x:v>NGC</x:v>
      </x:c>
      <x:c r="N70" t="str">
        <x:v>Region inferred from project/agency context; site not geocoded.</x:v>
      </x:c>
    </x:row>
    <x:row r="71" ht="18" customHeight="1">
      <x:c r="A71" t="str">
        <x:v>B01-056</x:v>
      </x:c>
      <x:c r="B71" t="str">
        <x:v>Nishat P</x:v>
      </x:c>
      <x:c r="C71" t="str">
        <x:v>RFO</x:v>
      </x:c>
      <x:c r="D71" t="str">
        <x:v>RFO</x:v>
      </x:c>
      <x:c r="E71" s="20" t="n">
        <x:v>200</x:v>
      </x:c>
      <x:c r="F71" s="20" t="n">
        <x:v>195</x:v>
      </x:c>
      <x:c r="G71" t="str">
        <x:v>Punjab</x:v>
      </x:c>
      <x:c r="H71" t="str">
        <x:v>Not located in IGCEP</x:v>
      </x:c>
      <x:c r="I71"/>
      <x:c r="J71"/>
      <x:c r="K71"/>
      <x:c r="L71" t="n">
        <x:v>151</x:v>
      </x:c>
      <x:c r="M71" t="str">
        <x:v>NGC</x:v>
      </x:c>
      <x:c r="N71" t="str">
        <x:v>Region inferred from project/agency context; site not geocoded.</x:v>
      </x:c>
    </x:row>
    <x:row r="72" ht="18" customHeight="1">
      <x:c r="A72" t="str">
        <x:v>B01-057</x:v>
      </x:c>
      <x:c r="B72" t="str">
        <x:v>Orient</x:v>
      </x:c>
      <x:c r="C72" t="str">
        <x:v>RLNG</x:v>
      </x:c>
      <x:c r="D72" t="str">
        <x:v>RLNG</x:v>
      </x:c>
      <x:c r="E72" s="20" t="n">
        <x:v>218</x:v>
      </x:c>
      <x:c r="F72" s="20" t="n">
        <x:v>206</x:v>
      </x:c>
      <x:c r="G72" t="str">
        <x:v>Punjab</x:v>
      </x:c>
      <x:c r="H72" t="str">
        <x:v>Not located in IGCEP</x:v>
      </x:c>
      <x:c r="I72"/>
      <x:c r="J72"/>
      <x:c r="K72"/>
      <x:c r="L72" t="n">
        <x:v>151</x:v>
      </x:c>
      <x:c r="M72" t="str">
        <x:v>NGC</x:v>
      </x:c>
      <x:c r="N72" t="str">
        <x:v>Region inferred from project/agency context; site not geocoded.</x:v>
      </x:c>
    </x:row>
    <x:row r="73" ht="18" customHeight="1">
      <x:c r="A73" t="str">
        <x:v>B01-058</x:v>
      </x:c>
      <x:c r="B73" t="str">
        <x:v>Port Qasim</x:v>
      </x:c>
      <x:c r="C73" t="str">
        <x:v>Coal - Imported</x:v>
      </x:c>
      <x:c r="D73" t="str">
        <x:v>Imp. Coal</x:v>
      </x:c>
      <x:c r="E73" s="20" t="n">
        <x:v>1320</x:v>
      </x:c>
      <x:c r="F73" s="20" t="n">
        <x:v>1243</x:v>
      </x:c>
      <x:c r="G73" t="str">
        <x:v>Sindh</x:v>
      </x:c>
      <x:c r="H73" t="str">
        <x:v>Site vicinity</x:v>
      </x:c>
      <x:c r="I73" t="n">
        <x:v>24.77</x:v>
      </x:c>
      <x:c r="J73" t="n">
        <x:v>67.36</x:v>
      </x:c>
      <x:c r="K73"/>
      <x:c r="L73" t="n">
        <x:v>151</x:v>
      </x:c>
      <x:c r="M73" t="str">
        <x:v>NGC</x:v>
      </x:c>
      <x:c r="N73" t="str">
        <x:v>Port Qasim–Karachi</x:v>
      </x:c>
    </x:row>
    <x:row r="74" ht="18" customHeight="1">
      <x:c r="A74" t="str">
        <x:v>B01-059</x:v>
      </x:c>
      <x:c r="B74" t="str">
        <x:v>JPCL</x:v>
      </x:c>
      <x:c r="C74" t="str">
        <x:v>Coal - Imported</x:v>
      </x:c>
      <x:c r="D74" t="str">
        <x:v>Imp. Coal</x:v>
      </x:c>
      <x:c r="E74" s="20" t="n">
        <x:v>660</x:v>
      </x:c>
      <x:c r="F74" s="20" t="n">
        <x:v>620</x:v>
      </x:c>
      <x:c r="G74" t="str">
        <x:v>Sindh</x:v>
      </x:c>
      <x:c r="H74" t="str">
        <x:v>Site vicinity</x:v>
      </x:c>
      <x:c r="I74" t="n">
        <x:v>25.43</x:v>
      </x:c>
      <x:c r="J74" t="n">
        <x:v>68.26</x:v>
      </x:c>
      <x:c r="K74"/>
      <x:c r="L74" t="n">
        <x:v>151</x:v>
      </x:c>
      <x:c r="M74" t="str">
        <x:v>NGC</x:v>
      </x:c>
      <x:c r="N74" t="str">
        <x:v>Jamshoro</x:v>
      </x:c>
    </x:row>
    <x:row r="75" ht="18" customHeight="1">
      <x:c r="A75" t="str">
        <x:v>B01-060</x:v>
      </x:c>
      <x:c r="B75" t="str">
        <x:v>Sahiwal Coal</x:v>
      </x:c>
      <x:c r="C75" t="str">
        <x:v>Coal - Imported</x:v>
      </x:c>
      <x:c r="D75" t="str">
        <x:v>Imp. Coal</x:v>
      </x:c>
      <x:c r="E75" s="20" t="n">
        <x:v>1320</x:v>
      </x:c>
      <x:c r="F75" s="20" t="n">
        <x:v>1231</x:v>
      </x:c>
      <x:c r="G75" t="str">
        <x:v>Punjab</x:v>
      </x:c>
      <x:c r="H75" t="str">
        <x:v>Site vicinity</x:v>
      </x:c>
      <x:c r="I75" t="n">
        <x:v>30.65</x:v>
      </x:c>
      <x:c r="J75" t="n">
        <x:v>73.12</x:v>
      </x:c>
      <x:c r="K75"/>
      <x:c r="L75" t="n">
        <x:v>151</x:v>
      </x:c>
      <x:c r="M75" t="str">
        <x:v>NGC</x:v>
      </x:c>
      <x:c r="N75" t="str">
        <x:v>Sahiwal coal power site</x:v>
      </x:c>
    </x:row>
    <x:row r="76" ht="18" customHeight="1">
      <x:c r="A76" t="str">
        <x:v>B01-061</x:v>
      </x:c>
      <x:c r="B76" t="str">
        <x:v>Saif</x:v>
      </x:c>
      <x:c r="C76" t="str">
        <x:v>RLNG</x:v>
      </x:c>
      <x:c r="D76" t="str">
        <x:v>RLNG</x:v>
      </x:c>
      <x:c r="E76" s="20" t="n">
        <x:v>209</x:v>
      </x:c>
      <x:c r="F76" s="20" t="n">
        <x:v>204</x:v>
      </x:c>
      <x:c r="G76" t="str">
        <x:v>Punjab</x:v>
      </x:c>
      <x:c r="H76" t="str">
        <x:v>Not located in IGCEP</x:v>
      </x:c>
      <x:c r="I76"/>
      <x:c r="J76"/>
      <x:c r="K76"/>
      <x:c r="L76" t="n">
        <x:v>151</x:v>
      </x:c>
      <x:c r="M76" t="str">
        <x:v>NGC</x:v>
      </x:c>
      <x:c r="N76" t="str">
        <x:v>Region inferred from project/agency context; site not geocoded.</x:v>
      </x:c>
    </x:row>
    <x:row r="77" ht="18" customHeight="1">
      <x:c r="A77" t="str">
        <x:v>B01-062</x:v>
      </x:c>
      <x:c r="B77" t="str">
        <x:v>Sapphire</x:v>
      </x:c>
      <x:c r="C77" t="str">
        <x:v>RLNG</x:v>
      </x:c>
      <x:c r="D77" t="str">
        <x:v>RLNG</x:v>
      </x:c>
      <x:c r="E77" s="20" t="n">
        <x:v>209</x:v>
      </x:c>
      <x:c r="F77" s="20" t="n">
        <x:v>204</x:v>
      </x:c>
      <x:c r="G77" t="str">
        <x:v>Punjab</x:v>
      </x:c>
      <x:c r="H77" t="str">
        <x:v>Not located in IGCEP</x:v>
      </x:c>
      <x:c r="I77"/>
      <x:c r="J77"/>
      <x:c r="K77"/>
      <x:c r="L77" t="n">
        <x:v>151</x:v>
      </x:c>
      <x:c r="M77" t="str">
        <x:v>NGC</x:v>
      </x:c>
      <x:c r="N77" t="str">
        <x:v>Region inferred from project/agency context; site not geocoded.</x:v>
      </x:c>
    </x:row>
    <x:row r="78" ht="18" customHeight="1">
      <x:c r="A78" t="str">
        <x:v>B01-063</x:v>
      </x:c>
      <x:c r="B78" t="str">
        <x:v>Trimmu</x:v>
      </x:c>
      <x:c r="C78" t="str">
        <x:v>RLNG</x:v>
      </x:c>
      <x:c r="D78" t="str">
        <x:v>RLNG</x:v>
      </x:c>
      <x:c r="E78" s="20" t="n">
        <x:v>1263</x:v>
      </x:c>
      <x:c r="F78" s="20" t="n">
        <x:v>1244</x:v>
      </x:c>
      <x:c r="G78" t="str">
        <x:v>Punjab</x:v>
      </x:c>
      <x:c r="H78" t="str">
        <x:v>Site vicinity</x:v>
      </x:c>
      <x:c r="I78" t="n">
        <x:v>31.11</x:v>
      </x:c>
      <x:c r="J78" t="n">
        <x:v>72.17</x:v>
      </x:c>
      <x:c r="K78"/>
      <x:c r="L78" t="n">
        <x:v>151</x:v>
      </x:c>
      <x:c r="M78" t="str">
        <x:v>NGC</x:v>
      </x:c>
      <x:c r="N78" t="str">
        <x:v>Trimmu–Jhang</x:v>
      </x:c>
    </x:row>
    <x:row r="79" ht="18" customHeight="1">
      <x:c r="A79" t="str">
        <x:v>B01-064</x:v>
      </x:c>
      <x:c r="B79" t="str">
        <x:v>Uch</x:v>
      </x:c>
      <x:c r="C79" t="str">
        <x:v>Gas</x:v>
      </x:c>
      <x:c r="D79" t="str">
        <x:v>Gas</x:v>
      </x:c>
      <x:c r="E79" s="20" t="n">
        <x:v>586</x:v>
      </x:c>
      <x:c r="F79" s="20" t="n">
        <x:v>549</x:v>
      </x:c>
      <x:c r="G79" t="str">
        <x:v>Balochistan</x:v>
      </x:c>
      <x:c r="H79" t="str">
        <x:v>Regional locality</x:v>
      </x:c>
      <x:c r="I79" t="n">
        <x:v>28.46</x:v>
      </x:c>
      <x:c r="J79" t="n">
        <x:v>68.31</x:v>
      </x:c>
      <x:c r="K79" t="n">
        <x:v>2031</x:v>
      </x:c>
      <x:c r="L79" t="n">
        <x:v>151</x:v>
      </x:c>
      <x:c r="M79" t="str">
        <x:v>NGC</x:v>
      </x:c>
      <x:c r="N79" t="str">
        <x:v>Uch–Dera Murad Jamali area</x:v>
      </x:c>
    </x:row>
    <x:row r="80" ht="18" customHeight="1">
      <x:c r="A80" t="str">
        <x:v>B01-065</x:v>
      </x:c>
      <x:c r="B80" t="str">
        <x:v>Uch-II</x:v>
      </x:c>
      <x:c r="C80" t="str">
        <x:v>Gas</x:v>
      </x:c>
      <x:c r="D80" t="str">
        <x:v>Gas</x:v>
      </x:c>
      <x:c r="E80" s="20" t="n">
        <x:v>404</x:v>
      </x:c>
      <x:c r="F80" s="20" t="n">
        <x:v>355</x:v>
      </x:c>
      <x:c r="G80" t="str">
        <x:v>Balochistan</x:v>
      </x:c>
      <x:c r="H80" t="str">
        <x:v>Regional locality</x:v>
      </x:c>
      <x:c r="I80" t="n">
        <x:v>28.46</x:v>
      </x:c>
      <x:c r="J80" t="n">
        <x:v>68.31</x:v>
      </x:c>
      <x:c r="K80"/>
      <x:c r="L80" t="n">
        <x:v>151</x:v>
      </x:c>
      <x:c r="M80" t="str">
        <x:v>NGC</x:v>
      </x:c>
      <x:c r="N80" t="str">
        <x:v>Uch–Dera Murad Jamali area</x:v>
      </x:c>
    </x:row>
    <x:row r="81" ht="18" customHeight="1">
      <x:c r="A81" t="str">
        <x:v>B01-066</x:v>
      </x:c>
      <x:c r="B81" t="str">
        <x:v>Lucky Coal</x:v>
      </x:c>
      <x:c r="C81" t="str">
        <x:v>Coal - Local</x:v>
      </x:c>
      <x:c r="D81" t="str">
        <x:v>Local Coal</x:v>
      </x:c>
      <x:c r="E81" s="20" t="n">
        <x:v>660</x:v>
      </x:c>
      <x:c r="F81" s="20" t="n">
        <x:v>607</x:v>
      </x:c>
      <x:c r="G81" t="str">
        <x:v>Sindh</x:v>
      </x:c>
      <x:c r="H81" t="str">
        <x:v>Site vicinity</x:v>
      </x:c>
      <x:c r="I81" t="n">
        <x:v>24.77</x:v>
      </x:c>
      <x:c r="J81" t="n">
        <x:v>67.36</x:v>
      </x:c>
      <x:c r="K81"/>
      <x:c r="L81" t="n">
        <x:v>151</x:v>
      </x:c>
      <x:c r="M81" t="str">
        <x:v>NGC</x:v>
      </x:c>
      <x:c r="N81" t="str">
        <x:v>Port Qasim–Karachi</x:v>
      </x:c>
    </x:row>
    <x:row r="82" ht="18" customHeight="1">
      <x:c r="A82" t="str">
        <x:v>B01-067</x:v>
      </x:c>
      <x:c r="B82" t="str">
        <x:v>Thal Nova</x:v>
      </x:c>
      <x:c r="C82" t="str">
        <x:v>Coal - Local</x:v>
      </x:c>
      <x:c r="D82" t="str">
        <x:v>Local Coal</x:v>
      </x:c>
      <x:c r="E82" s="20" t="n">
        <x:v>330</x:v>
      </x:c>
      <x:c r="F82" s="20" t="n">
        <x:v>301</x:v>
      </x:c>
      <x:c r="G82" t="str">
        <x:v>Sindh</x:v>
      </x:c>
      <x:c r="H82" t="str">
        <x:v>Cluster proxy</x:v>
      </x:c>
      <x:c r="I82" t="n">
        <x:v>24.64</x:v>
      </x:c>
      <x:c r="J82" t="n">
        <x:v>70.22</x:v>
      </x:c>
      <x:c r="K82"/>
      <x:c r="L82" t="n">
        <x:v>151</x:v>
      </x:c>
      <x:c r="M82" t="str">
        <x:v>NGC</x:v>
      </x:c>
      <x:c r="N82" t="str">
        <x:v>Thar coalfield</x:v>
      </x:c>
    </x:row>
    <x:row r="83" ht="18" customHeight="1">
      <x:c r="A83" t="str">
        <x:v>B01-068</x:v>
      </x:c>
      <x:c r="B83" t="str">
        <x:v>Thar TEL</x:v>
      </x:c>
      <x:c r="C83" t="str">
        <x:v>Coal - Local</x:v>
      </x:c>
      <x:c r="D83" t="str">
        <x:v>Local Coal</x:v>
      </x:c>
      <x:c r="E83" s="20" t="n">
        <x:v>330</x:v>
      </x:c>
      <x:c r="F83" s="20" t="n">
        <x:v>301</x:v>
      </x:c>
      <x:c r="G83" t="str">
        <x:v>Sindh</x:v>
      </x:c>
      <x:c r="H83" t="str">
        <x:v>Cluster proxy</x:v>
      </x:c>
      <x:c r="I83" t="n">
        <x:v>24.64</x:v>
      </x:c>
      <x:c r="J83" t="n">
        <x:v>70.22</x:v>
      </x:c>
      <x:c r="K83"/>
      <x:c r="L83" t="n">
        <x:v>151</x:v>
      </x:c>
      <x:c r="M83" t="str">
        <x:v>NGC</x:v>
      </x:c>
      <x:c r="N83" t="str">
        <x:v>Thar coalfield</x:v>
      </x:c>
    </x:row>
    <x:row r="84" ht="18" customHeight="1">
      <x:c r="A84" t="str">
        <x:v>B01-069</x:v>
      </x:c>
      <x:c r="B84" t="str">
        <x:v>Thar-I (SSRL)</x:v>
      </x:c>
      <x:c r="C84" t="str">
        <x:v>Coal - Local</x:v>
      </x:c>
      <x:c r="D84" t="str">
        <x:v>Local Coal</x:v>
      </x:c>
      <x:c r="E84" s="20" t="n">
        <x:v>1320</x:v>
      </x:c>
      <x:c r="F84" s="20" t="n">
        <x:v>1214</x:v>
      </x:c>
      <x:c r="G84" t="str">
        <x:v>Sindh</x:v>
      </x:c>
      <x:c r="H84" t="str">
        <x:v>Cluster proxy</x:v>
      </x:c>
      <x:c r="I84" t="n">
        <x:v>24.64</x:v>
      </x:c>
      <x:c r="J84" t="n">
        <x:v>70.22</x:v>
      </x:c>
      <x:c r="K84"/>
      <x:c r="L84" t="n">
        <x:v>151</x:v>
      </x:c>
      <x:c r="M84" t="str">
        <x:v>NGC</x:v>
      </x:c>
      <x:c r="N84" t="str">
        <x:v>Thar coalfield</x:v>
      </x:c>
    </x:row>
    <x:row r="85" ht="18" customHeight="1">
      <x:c r="A85" t="str">
        <x:v>B01-070</x:v>
      </x:c>
      <x:c r="B85" t="str">
        <x:v>Shahtaj</x:v>
      </x:c>
      <x:c r="C85" t="str">
        <x:v>Bagasse</x:v>
      </x:c>
      <x:c r="D85" t="str">
        <x:v>Bagasse</x:v>
      </x:c>
      <x:c r="E85" s="20" t="n">
        <x:v>32</x:v>
      </x:c>
      <x:c r="F85" s="20" t="n">
        <x:v>32</x:v>
      </x:c>
      <x:c r="G85" t="str">
        <x:v>Punjab</x:v>
      </x:c>
      <x:c r="H85" t="str">
        <x:v>Not located in IGCEP</x:v>
      </x:c>
      <x:c r="I85"/>
      <x:c r="J85"/>
      <x:c r="K85"/>
      <x:c r="L85" t="n">
        <x:v>151</x:v>
      </x:c>
      <x:c r="M85" t="str">
        <x:v>NGC</x:v>
      </x:c>
      <x:c r="N85" t="str">
        <x:v>Region inferred from project/agency context; site not geocoded.</x:v>
      </x:c>
    </x:row>
    <x:row r="86" ht="18" customHeight="1">
      <x:c r="A86" t="str">
        <x:v>B01-071</x:v>
      </x:c>
      <x:c r="B86" t="str">
        <x:v>Almoiz</x:v>
      </x:c>
      <x:c r="C86" t="str">
        <x:v>Bagasse</x:v>
      </x:c>
      <x:c r="D86" t="str">
        <x:v>Bagasse</x:v>
      </x:c>
      <x:c r="E86" s="20" t="n">
        <x:v>36</x:v>
      </x:c>
      <x:c r="F86" s="20" t="n">
        <x:v>36</x:v>
      </x:c>
      <x:c r="G86" t="str">
        <x:v>Punjab</x:v>
      </x:c>
      <x:c r="H86" t="str">
        <x:v>Not located in IGCEP</x:v>
      </x:c>
      <x:c r="I86"/>
      <x:c r="J86"/>
      <x:c r="K86"/>
      <x:c r="L86" t="n">
        <x:v>151</x:v>
      </x:c>
      <x:c r="M86" t="str">
        <x:v>NGC</x:v>
      </x:c>
      <x:c r="N86" t="str">
        <x:v>Region inferred from project/agency context; site not geocoded.</x:v>
      </x:c>
    </x:row>
    <x:row r="87" ht="18" customHeight="1">
      <x:c r="A87" t="str">
        <x:v>B01-072</x:v>
      </x:c>
      <x:c r="B87" t="str">
        <x:v>Chanar</x:v>
      </x:c>
      <x:c r="C87" t="str">
        <x:v>Bagasse</x:v>
      </x:c>
      <x:c r="D87" t="str">
        <x:v>Bagasse</x:v>
      </x:c>
      <x:c r="E87" s="20" t="n">
        <x:v>26</x:v>
      </x:c>
      <x:c r="F87" s="20" t="n">
        <x:v>21</x:v>
      </x:c>
      <x:c r="G87" t="str">
        <x:v>Punjab</x:v>
      </x:c>
      <x:c r="H87" t="str">
        <x:v>Not located in IGCEP</x:v>
      </x:c>
      <x:c r="I87"/>
      <x:c r="J87"/>
      <x:c r="K87"/>
      <x:c r="L87" t="n">
        <x:v>151</x:v>
      </x:c>
      <x:c r="M87" t="str">
        <x:v>NGC</x:v>
      </x:c>
      <x:c r="N87" t="str">
        <x:v>Region inferred from project/agency context; site not geocoded.</x:v>
      </x:c>
    </x:row>
    <x:row r="88" ht="18" customHeight="1">
      <x:c r="A88" t="str">
        <x:v>B01-073</x:v>
      </x:c>
      <x:c r="B88" t="str">
        <x:v>Chiniot</x:v>
      </x:c>
      <x:c r="C88" t="str">
        <x:v>Bagasse</x:v>
      </x:c>
      <x:c r="D88" t="str">
        <x:v>Bagasse</x:v>
      </x:c>
      <x:c r="E88" s="20" t="n">
        <x:v>63</x:v>
      </x:c>
      <x:c r="F88" s="20" t="n">
        <x:v>63</x:v>
      </x:c>
      <x:c r="G88" t="str">
        <x:v>Punjab</x:v>
      </x:c>
      <x:c r="H88" t="str">
        <x:v>Regional locality</x:v>
      </x:c>
      <x:c r="I88" t="n">
        <x:v>31.72</x:v>
      </x:c>
      <x:c r="J88" t="n">
        <x:v>72.98</x:v>
      </x:c>
      <x:c r="K88"/>
      <x:c r="L88" t="n">
        <x:v>151</x:v>
      </x:c>
      <x:c r="M88" t="str">
        <x:v>NGC</x:v>
      </x:c>
      <x:c r="N88" t="str">
        <x:v>Chiniot</x:v>
      </x:c>
    </x:row>
    <x:row r="89" ht="18" customHeight="1">
      <x:c r="A89" t="str">
        <x:v>B01-074</x:v>
      </x:c>
      <x:c r="B89" t="str">
        <x:v>Fatima Energy (FEL)</x:v>
      </x:c>
      <x:c r="C89" t="str">
        <x:v>Bagasse</x:v>
      </x:c>
      <x:c r="D89" t="str">
        <x:v>Bagasse</x:v>
      </x:c>
      <x:c r="E89" s="20" t="n">
        <x:v>120</x:v>
      </x:c>
      <x:c r="F89" s="20" t="n">
        <x:v>108</x:v>
      </x:c>
      <x:c r="G89" t="str">
        <x:v>Punjab</x:v>
      </x:c>
      <x:c r="H89" t="str">
        <x:v>Not located in IGCEP</x:v>
      </x:c>
      <x:c r="I89"/>
      <x:c r="J89"/>
      <x:c r="K89"/>
      <x:c r="L89" t="n">
        <x:v>151</x:v>
      </x:c>
      <x:c r="M89" t="str">
        <x:v>NGC</x:v>
      </x:c>
      <x:c r="N89" t="str">
        <x:v>Region inferred from project/agency context; site not geocoded.</x:v>
      </x:c>
    </x:row>
    <x:row r="90" ht="18" customHeight="1">
      <x:c r="A90" t="str">
        <x:v>B01-075</x:v>
      </x:c>
      <x:c r="B90" t="str">
        <x:v>Hamza</x:v>
      </x:c>
      <x:c r="C90" t="str">
        <x:v>Bagasse</x:v>
      </x:c>
      <x:c r="D90" t="str">
        <x:v>Bagasse</x:v>
      </x:c>
      <x:c r="E90" s="20" t="n">
        <x:v>15</x:v>
      </x:c>
      <x:c r="F90" s="20" t="n">
        <x:v>15</x:v>
      </x:c>
      <x:c r="G90" t="str">
        <x:v>Punjab</x:v>
      </x:c>
      <x:c r="H90" t="str">
        <x:v>Not located in IGCEP</x:v>
      </x:c>
      <x:c r="I90"/>
      <x:c r="J90"/>
      <x:c r="K90"/>
      <x:c r="L90" t="n">
        <x:v>151</x:v>
      </x:c>
      <x:c r="M90" t="str">
        <x:v>NGC</x:v>
      </x:c>
      <x:c r="N90" t="str">
        <x:v>Region inferred from project/agency context; site not geocoded.</x:v>
      </x:c>
    </x:row>
    <x:row r="91" ht="18" customHeight="1">
      <x:c r="A91" t="str">
        <x:v>B01-076</x:v>
      </x:c>
      <x:c r="B91" t="str">
        <x:v>JDW - II</x:v>
      </x:c>
      <x:c r="C91" t="str">
        <x:v>Bagasse</x:v>
      </x:c>
      <x:c r="D91" t="str">
        <x:v>Bagasse</x:v>
      </x:c>
      <x:c r="E91" s="20" t="n">
        <x:v>26</x:v>
      </x:c>
      <x:c r="F91" s="20" t="n">
        <x:v>25</x:v>
      </x:c>
      <x:c r="G91" t="str">
        <x:v>Punjab</x:v>
      </x:c>
      <x:c r="H91" t="str">
        <x:v>Not located in IGCEP</x:v>
      </x:c>
      <x:c r="I91"/>
      <x:c r="J91"/>
      <x:c r="K91"/>
      <x:c r="L91" t="n">
        <x:v>151</x:v>
      </x:c>
      <x:c r="M91" t="str">
        <x:v>NGC</x:v>
      </x:c>
      <x:c r="N91" t="str">
        <x:v>Region inferred from project/agency context; site not geocoded.</x:v>
      </x:c>
    </x:row>
    <x:row r="92" ht="18" customHeight="1">
      <x:c r="A92" t="str">
        <x:v>B01-077</x:v>
      </x:c>
      <x:c r="B92" t="str">
        <x:v>JDW - III</x:v>
      </x:c>
      <x:c r="C92" t="str">
        <x:v>Bagasse</x:v>
      </x:c>
      <x:c r="D92" t="str">
        <x:v>Bagasse</x:v>
      </x:c>
      <x:c r="E92" s="20" t="n">
        <x:v>27</x:v>
      </x:c>
      <x:c r="F92" s="20" t="n">
        <x:v>26</x:v>
      </x:c>
      <x:c r="G92" t="str">
        <x:v>Punjab</x:v>
      </x:c>
      <x:c r="H92" t="str">
        <x:v>Not located in IGCEP</x:v>
      </x:c>
      <x:c r="I92"/>
      <x:c r="J92"/>
      <x:c r="K92"/>
      <x:c r="L92" t="n">
        <x:v>151</x:v>
      </x:c>
      <x:c r="M92" t="str">
        <x:v>NGC</x:v>
      </x:c>
      <x:c r="N92" t="str">
        <x:v>Region inferred from project/agency context; site not geocoded.</x:v>
      </x:c>
    </x:row>
    <x:row r="93" ht="18" customHeight="1">
      <x:c r="A93" t="str">
        <x:v>B01-078</x:v>
      </x:c>
      <x:c r="B93" t="str">
        <x:v>Ryk_Mills</x:v>
      </x:c>
      <x:c r="C93" t="str">
        <x:v>Bagasse</x:v>
      </x:c>
      <x:c r="D93" t="str">
        <x:v>Bagasse</x:v>
      </x:c>
      <x:c r="E93" s="20" t="n">
        <x:v>30</x:v>
      </x:c>
      <x:c r="F93" s="20" t="n">
        <x:v>30</x:v>
      </x:c>
      <x:c r="G93" t="str">
        <x:v>Punjab</x:v>
      </x:c>
      <x:c r="H93" t="str">
        <x:v>Regional locality</x:v>
      </x:c>
      <x:c r="I93" t="n">
        <x:v>28.43</x:v>
      </x:c>
      <x:c r="J93" t="n">
        <x:v>70.3</x:v>
      </x:c>
      <x:c r="K93"/>
      <x:c r="L93" t="n">
        <x:v>151</x:v>
      </x:c>
      <x:c r="M93" t="str">
        <x:v>NGC</x:v>
      </x:c>
      <x:c r="N93" t="str">
        <x:v>Rahim Yar Khan</x:v>
      </x:c>
    </x:row>
    <x:row r="94" ht="18" customHeight="1">
      <x:c r="A94" t="str">
        <x:v>B01-079</x:v>
      </x:c>
      <x:c r="B94" t="str">
        <x:v>Thal_Layyah</x:v>
      </x:c>
      <x:c r="C94" t="str">
        <x:v>Bagasse</x:v>
      </x:c>
      <x:c r="D94" t="str">
        <x:v>Bagasse</x:v>
      </x:c>
      <x:c r="E94" s="20" t="n">
        <x:v>25</x:v>
      </x:c>
      <x:c r="F94" s="20" t="n">
        <x:v>24</x:v>
      </x:c>
      <x:c r="G94" t="str">
        <x:v>Punjab</x:v>
      </x:c>
      <x:c r="H94" t="str">
        <x:v>Regional locality</x:v>
      </x:c>
      <x:c r="I94" t="n">
        <x:v>30.97</x:v>
      </x:c>
      <x:c r="J94" t="n">
        <x:v>70.95</x:v>
      </x:c>
      <x:c r="K94"/>
      <x:c r="L94" t="n">
        <x:v>151</x:v>
      </x:c>
      <x:c r="M94" t="str">
        <x:v>NGC</x:v>
      </x:c>
      <x:c r="N94" t="str">
        <x:v>Layyah</x:v>
      </x:c>
    </x:row>
    <x:row r="95" ht="18" customHeight="1">
      <x:c r="A95" t="str">
        <x:v>B01-080</x:v>
      </x:c>
      <x:c r="B95" t="str">
        <x:v>Act/Tapal Wind</x:v>
      </x:c>
      <x:c r="C95" t="str">
        <x:v>Wind</x:v>
      </x:c>
      <x:c r="D95" t="str">
        <x:v>Wind</x:v>
      </x:c>
      <x:c r="E95" s="20" t="n">
        <x:v>30</x:v>
      </x:c>
      <x:c r="F95" s="20" t="n">
        <x:v>30</x:v>
      </x:c>
      <x:c r="G95" t="str">
        <x:v>Sindh</x:v>
      </x:c>
      <x:c r="H95" t="str">
        <x:v>Cluster proxy</x:v>
      </x:c>
      <x:c r="I95" t="n">
        <x:v>25.01</x:v>
      </x:c>
      <x:c r="J95" t="n">
        <x:v>67.98</x:v>
      </x:c>
      <x:c r="K95"/>
      <x:c r="L95" t="n">
        <x:v>151</x:v>
      </x:c>
      <x:c r="M95" t="str">
        <x:v>NGC</x:v>
      </x:c>
      <x:c r="N95" t="str">
        <x:v>Jhimpir–Gharo wind corridor</x:v>
      </x:c>
    </x:row>
    <x:row r="96" ht="18" customHeight="1">
      <x:c r="A96" t="str">
        <x:v>B01-081</x:v>
      </x:c>
      <x:c r="B96" t="str">
        <x:v>Artistic_Wind</x:v>
      </x:c>
      <x:c r="C96" t="str">
        <x:v>Wind</x:v>
      </x:c>
      <x:c r="D96" t="str">
        <x:v>Wind</x:v>
      </x:c>
      <x:c r="E96" s="20" t="n">
        <x:v>50</x:v>
      </x:c>
      <x:c r="F96" s="20" t="n">
        <x:v>50</x:v>
      </x:c>
      <x:c r="G96" t="str">
        <x:v>Sindh</x:v>
      </x:c>
      <x:c r="H96" t="str">
        <x:v>Cluster proxy</x:v>
      </x:c>
      <x:c r="I96" t="n">
        <x:v>25.01</x:v>
      </x:c>
      <x:c r="J96" t="n">
        <x:v>67.98</x:v>
      </x:c>
      <x:c r="K96"/>
      <x:c r="L96" t="n">
        <x:v>151</x:v>
      </x:c>
      <x:c r="M96" t="str">
        <x:v>NGC</x:v>
      </x:c>
      <x:c r="N96" t="str">
        <x:v>Jhimpir–Gharo wind corridor</x:v>
      </x:c>
    </x:row>
    <x:row r="97" ht="18" customHeight="1">
      <x:c r="A97" t="str">
        <x:v>B01-082</x:v>
      </x:c>
      <x:c r="B97" t="str">
        <x:v>Artistic_Wind-2</x:v>
      </x:c>
      <x:c r="C97" t="str">
        <x:v>Wind</x:v>
      </x:c>
      <x:c r="D97" t="str">
        <x:v>Wind</x:v>
      </x:c>
      <x:c r="E97" s="20" t="n">
        <x:v>50</x:v>
      </x:c>
      <x:c r="F97" s="20" t="n">
        <x:v>50</x:v>
      </x:c>
      <x:c r="G97" t="str">
        <x:v>Sindh</x:v>
      </x:c>
      <x:c r="H97" t="str">
        <x:v>Cluster proxy</x:v>
      </x:c>
      <x:c r="I97" t="n">
        <x:v>25.01</x:v>
      </x:c>
      <x:c r="J97" t="n">
        <x:v>67.98</x:v>
      </x:c>
      <x:c r="K97"/>
      <x:c r="L97" t="n">
        <x:v>151</x:v>
      </x:c>
      <x:c r="M97" t="str">
        <x:v>NGC</x:v>
      </x:c>
      <x:c r="N97" t="str">
        <x:v>Jhimpir–Gharo wind corridor</x:v>
      </x:c>
    </x:row>
    <x:row r="98" ht="18" customHeight="1">
      <x:c r="A98" t="str">
        <x:v>B01-083</x:v>
      </x:c>
      <x:c r="B98" t="str">
        <x:v>Dawood</x:v>
      </x:c>
      <x:c r="C98" t="str">
        <x:v>Wind</x:v>
      </x:c>
      <x:c r="D98" t="str">
        <x:v>Wind</x:v>
      </x:c>
      <x:c r="E98" s="20" t="n">
        <x:v>50</x:v>
      </x:c>
      <x:c r="F98" s="20" t="n">
        <x:v>50</x:v>
      </x:c>
      <x:c r="G98" t="str">
        <x:v>Sindh</x:v>
      </x:c>
      <x:c r="H98" t="str">
        <x:v>Cluster proxy</x:v>
      </x:c>
      <x:c r="I98" t="n">
        <x:v>25.01</x:v>
      </x:c>
      <x:c r="J98" t="n">
        <x:v>67.98</x:v>
      </x:c>
      <x:c r="K98"/>
      <x:c r="L98" t="n">
        <x:v>151</x:v>
      </x:c>
      <x:c r="M98" t="str">
        <x:v>NGC</x:v>
      </x:c>
      <x:c r="N98" t="str">
        <x:v>Jhimpir–Gharo wind corridor</x:v>
      </x:c>
    </x:row>
    <x:row r="99" ht="18" customHeight="1">
      <x:c r="A99" t="str">
        <x:v>B01-084</x:v>
      </x:c>
      <x:c r="B99" t="str">
        <x:v>Din Wind Energy</x:v>
      </x:c>
      <x:c r="C99" t="str">
        <x:v>Wind</x:v>
      </x:c>
      <x:c r="D99" t="str">
        <x:v>Wind</x:v>
      </x:c>
      <x:c r="E99" s="20" t="n">
        <x:v>50</x:v>
      </x:c>
      <x:c r="F99" s="20" t="n">
        <x:v>50</x:v>
      </x:c>
      <x:c r="G99" t="str">
        <x:v>Sindh</x:v>
      </x:c>
      <x:c r="H99" t="str">
        <x:v>Cluster proxy</x:v>
      </x:c>
      <x:c r="I99" t="n">
        <x:v>25.01</x:v>
      </x:c>
      <x:c r="J99" t="n">
        <x:v>67.98</x:v>
      </x:c>
      <x:c r="K99"/>
      <x:c r="L99" t="n">
        <x:v>151</x:v>
      </x:c>
      <x:c r="M99" t="str">
        <x:v>NGC</x:v>
      </x:c>
      <x:c r="N99" t="str">
        <x:v>Jhimpir–Gharo wind corridor</x:v>
      </x:c>
    </x:row>
    <x:row r="100" ht="18" customHeight="1">
      <x:c r="A100" t="str">
        <x:v>B01-085</x:v>
      </x:c>
      <x:c r="B100" t="str">
        <x:v>FFC</x:v>
      </x:c>
      <x:c r="C100" t="str">
        <x:v>Wind</x:v>
      </x:c>
      <x:c r="D100" t="str">
        <x:v>Wind</x:v>
      </x:c>
      <x:c r="E100" s="20" t="n">
        <x:v>50</x:v>
      </x:c>
      <x:c r="F100" s="20" t="n">
        <x:v>50</x:v>
      </x:c>
      <x:c r="G100" t="str">
        <x:v>Sindh</x:v>
      </x:c>
      <x:c r="H100" t="str">
        <x:v>Cluster proxy</x:v>
      </x:c>
      <x:c r="I100" t="n">
        <x:v>25.01</x:v>
      </x:c>
      <x:c r="J100" t="n">
        <x:v>67.98</x:v>
      </x:c>
      <x:c r="K100"/>
      <x:c r="L100" t="n">
        <x:v>151</x:v>
      </x:c>
      <x:c r="M100" t="str">
        <x:v>NGC</x:v>
      </x:c>
      <x:c r="N100" t="str">
        <x:v>Jhimpir–Gharo wind corridor</x:v>
      </x:c>
    </x:row>
    <x:row r="101" ht="18" customHeight="1">
      <x:c r="A101" t="str">
        <x:v>B01-086</x:v>
      </x:c>
      <x:c r="B101" t="str">
        <x:v>FWEL-I</x:v>
      </x:c>
      <x:c r="C101" t="str">
        <x:v>Wind</x:v>
      </x:c>
      <x:c r="D101" t="str">
        <x:v>Wind</x:v>
      </x:c>
      <x:c r="E101" s="20" t="n">
        <x:v>50</x:v>
      </x:c>
      <x:c r="F101" s="20" t="n">
        <x:v>50</x:v>
      </x:c>
      <x:c r="G101" t="str">
        <x:v>Sindh</x:v>
      </x:c>
      <x:c r="H101" t="str">
        <x:v>Cluster proxy</x:v>
      </x:c>
      <x:c r="I101" t="n">
        <x:v>25.01</x:v>
      </x:c>
      <x:c r="J101" t="n">
        <x:v>67.98</x:v>
      </x:c>
      <x:c r="K101"/>
      <x:c r="L101" t="n">
        <x:v>151</x:v>
      </x:c>
      <x:c r="M101" t="str">
        <x:v>NGC</x:v>
      </x:c>
      <x:c r="N101" t="str">
        <x:v>Jhimpir–Gharo wind corridor</x:v>
      </x:c>
    </x:row>
    <x:row r="102" ht="18" customHeight="1">
      <x:c r="A102" t="str">
        <x:v>B01-087</x:v>
      </x:c>
      <x:c r="B102" t="str">
        <x:v>FWEL-II</x:v>
      </x:c>
      <x:c r="C102" t="str">
        <x:v>Wind</x:v>
      </x:c>
      <x:c r="D102" t="str">
        <x:v>Wind</x:v>
      </x:c>
      <x:c r="E102" s="20" t="n">
        <x:v>50</x:v>
      </x:c>
      <x:c r="F102" s="20" t="n">
        <x:v>50</x:v>
      </x:c>
      <x:c r="G102" t="str">
        <x:v>Sindh</x:v>
      </x:c>
      <x:c r="H102" t="str">
        <x:v>Cluster proxy</x:v>
      </x:c>
      <x:c r="I102" t="n">
        <x:v>25.01</x:v>
      </x:c>
      <x:c r="J102" t="n">
        <x:v>67.98</x:v>
      </x:c>
      <x:c r="K102"/>
      <x:c r="L102" t="n">
        <x:v>151</x:v>
      </x:c>
      <x:c r="M102" t="str">
        <x:v>NGC</x:v>
      </x:c>
      <x:c r="N102" t="str">
        <x:v>Jhimpir–Gharo wind corridor</x:v>
      </x:c>
    </x:row>
    <x:row r="103" ht="18" customHeight="1">
      <x:c r="A103" t="str">
        <x:v>B01-088</x:v>
      </x:c>
      <x:c r="B103" t="str">
        <x:v>Gul Ahmed</x:v>
      </x:c>
      <x:c r="C103" t="str">
        <x:v>Wind</x:v>
      </x:c>
      <x:c r="D103" t="str">
        <x:v>Wind</x:v>
      </x:c>
      <x:c r="E103" s="20" t="n">
        <x:v>50</x:v>
      </x:c>
      <x:c r="F103" s="20" t="n">
        <x:v>50</x:v>
      </x:c>
      <x:c r="G103" t="str">
        <x:v>Sindh</x:v>
      </x:c>
      <x:c r="H103" t="str">
        <x:v>Cluster proxy</x:v>
      </x:c>
      <x:c r="I103" t="n">
        <x:v>25.01</x:v>
      </x:c>
      <x:c r="J103" t="n">
        <x:v>67.98</x:v>
      </x:c>
      <x:c r="K103"/>
      <x:c r="L103" t="n">
        <x:v>151</x:v>
      </x:c>
      <x:c r="M103" t="str">
        <x:v>NGC</x:v>
      </x:c>
      <x:c r="N103" t="str">
        <x:v>Jhimpir–Gharo wind corridor</x:v>
      </x:c>
    </x:row>
    <x:row r="104" ht="18" customHeight="1">
      <x:c r="A104" t="str">
        <x:v>B01-089</x:v>
      </x:c>
      <x:c r="B104" t="str">
        <x:v>Gul Ahmed-II</x:v>
      </x:c>
      <x:c r="C104" t="str">
        <x:v>Wind</x:v>
      </x:c>
      <x:c r="D104" t="str">
        <x:v>Wind</x:v>
      </x:c>
      <x:c r="E104" s="20" t="n">
        <x:v>50</x:v>
      </x:c>
      <x:c r="F104" s="20" t="n">
        <x:v>50</x:v>
      </x:c>
      <x:c r="G104" t="str">
        <x:v>Sindh</x:v>
      </x:c>
      <x:c r="H104" t="str">
        <x:v>Cluster proxy</x:v>
      </x:c>
      <x:c r="I104" t="n">
        <x:v>25.01</x:v>
      </x:c>
      <x:c r="J104" t="n">
        <x:v>67.98</x:v>
      </x:c>
      <x:c r="K104"/>
      <x:c r="L104" t="n">
        <x:v>152</x:v>
      </x:c>
      <x:c r="M104" t="str">
        <x:v>NGC</x:v>
      </x:c>
      <x:c r="N104" t="str">
        <x:v>Jhimpir–Gharo wind corridor</x:v>
      </x:c>
    </x:row>
    <x:row r="105" ht="18" customHeight="1">
      <x:c r="A105" t="str">
        <x:v>B01-090</x:v>
      </x:c>
      <x:c r="B105" t="str">
        <x:v>Hawa</x:v>
      </x:c>
      <x:c r="C105" t="str">
        <x:v>Wind</x:v>
      </x:c>
      <x:c r="D105" t="str">
        <x:v>Wind</x:v>
      </x:c>
      <x:c r="E105" s="20" t="n">
        <x:v>50</x:v>
      </x:c>
      <x:c r="F105" s="20" t="n">
        <x:v>50</x:v>
      </x:c>
      <x:c r="G105" t="str">
        <x:v>Sindh</x:v>
      </x:c>
      <x:c r="H105" t="str">
        <x:v>Cluster proxy</x:v>
      </x:c>
      <x:c r="I105" t="n">
        <x:v>25.01</x:v>
      </x:c>
      <x:c r="J105" t="n">
        <x:v>67.98</x:v>
      </x:c>
      <x:c r="K105"/>
      <x:c r="L105" t="n">
        <x:v>152</x:v>
      </x:c>
      <x:c r="M105" t="str">
        <x:v>NGC</x:v>
      </x:c>
      <x:c r="N105" t="str">
        <x:v>Jhimpir–Gharo wind corridor</x:v>
      </x:c>
    </x:row>
    <x:row r="106" ht="18" customHeight="1">
      <x:c r="A106" t="str">
        <x:v>B01-091</x:v>
      </x:c>
      <x:c r="B106" t="str">
        <x:v>Indus</x:v>
      </x:c>
      <x:c r="C106" t="str">
        <x:v>Wind</x:v>
      </x:c>
      <x:c r="D106" t="str">
        <x:v>Wind</x:v>
      </x:c>
      <x:c r="E106" s="20" t="n">
        <x:v>50</x:v>
      </x:c>
      <x:c r="F106" s="20" t="n">
        <x:v>50</x:v>
      </x:c>
      <x:c r="G106" t="str">
        <x:v>Sindh</x:v>
      </x:c>
      <x:c r="H106" t="str">
        <x:v>Cluster proxy</x:v>
      </x:c>
      <x:c r="I106" t="n">
        <x:v>25.01</x:v>
      </x:c>
      <x:c r="J106" t="n">
        <x:v>67.98</x:v>
      </x:c>
      <x:c r="K106"/>
      <x:c r="L106" t="n">
        <x:v>152</x:v>
      </x:c>
      <x:c r="M106" t="str">
        <x:v>NGC</x:v>
      </x:c>
      <x:c r="N106" t="str">
        <x:v>Jhimpir–Gharo wind corridor</x:v>
      </x:c>
    </x:row>
    <x:row r="107" ht="18" customHeight="1">
      <x:c r="A107" t="str">
        <x:v>B01-092</x:v>
      </x:c>
      <x:c r="B107" t="str">
        <x:v>Jhimpir</x:v>
      </x:c>
      <x:c r="C107" t="str">
        <x:v>Wind</x:v>
      </x:c>
      <x:c r="D107" t="str">
        <x:v>Wind</x:v>
      </x:c>
      <x:c r="E107" s="20" t="n">
        <x:v>50</x:v>
      </x:c>
      <x:c r="F107" s="20" t="n">
        <x:v>50</x:v>
      </x:c>
      <x:c r="G107" t="str">
        <x:v>Sindh</x:v>
      </x:c>
      <x:c r="H107" t="str">
        <x:v>Cluster proxy</x:v>
      </x:c>
      <x:c r="I107" t="n">
        <x:v>25.01</x:v>
      </x:c>
      <x:c r="J107" t="n">
        <x:v>67.98</x:v>
      </x:c>
      <x:c r="K107"/>
      <x:c r="L107" t="n">
        <x:v>152</x:v>
      </x:c>
      <x:c r="M107" t="str">
        <x:v>NGC</x:v>
      </x:c>
      <x:c r="N107" t="str">
        <x:v>Jhimpir–Gharo wind corridor</x:v>
      </x:c>
    </x:row>
    <x:row r="108" ht="18" customHeight="1">
      <x:c r="A108" t="str">
        <x:v>B01-093</x:v>
      </x:c>
      <x:c r="B108" t="str">
        <x:v>Lakeside Wind</x:v>
      </x:c>
      <x:c r="C108" t="str">
        <x:v>Wind</x:v>
      </x:c>
      <x:c r="D108" t="str">
        <x:v>Wind</x:v>
      </x:c>
      <x:c r="E108" s="20" t="n">
        <x:v>50</x:v>
      </x:c>
      <x:c r="F108" s="20" t="n">
        <x:v>50</x:v>
      </x:c>
      <x:c r="G108" t="str">
        <x:v>Sindh</x:v>
      </x:c>
      <x:c r="H108" t="str">
        <x:v>Cluster proxy</x:v>
      </x:c>
      <x:c r="I108" t="n">
        <x:v>25.01</x:v>
      </x:c>
      <x:c r="J108" t="n">
        <x:v>67.98</x:v>
      </x:c>
      <x:c r="K108"/>
      <x:c r="L108" t="n">
        <x:v>152</x:v>
      </x:c>
      <x:c r="M108" t="str">
        <x:v>NGC</x:v>
      </x:c>
      <x:c r="N108" t="str">
        <x:v>Jhimpir–Gharo wind corridor</x:v>
      </x:c>
    </x:row>
    <x:row r="109" ht="18" customHeight="1">
      <x:c r="A109" t="str">
        <x:v>B01-094</x:v>
      </x:c>
      <x:c r="B109" t="str">
        <x:v>Liberty Wind-I</x:v>
      </x:c>
      <x:c r="C109" t="str">
        <x:v>Wind</x:v>
      </x:c>
      <x:c r="D109" t="str">
        <x:v>Wind</x:v>
      </x:c>
      <x:c r="E109" s="20" t="n">
        <x:v>50</x:v>
      </x:c>
      <x:c r="F109" s="20" t="n">
        <x:v>50</x:v>
      </x:c>
      <x:c r="G109" t="str">
        <x:v>Sindh</x:v>
      </x:c>
      <x:c r="H109" t="str">
        <x:v>Cluster proxy</x:v>
      </x:c>
      <x:c r="I109" t="n">
        <x:v>25.01</x:v>
      </x:c>
      <x:c r="J109" t="n">
        <x:v>67.98</x:v>
      </x:c>
      <x:c r="K109"/>
      <x:c r="L109" t="n">
        <x:v>152</x:v>
      </x:c>
      <x:c r="M109" t="str">
        <x:v>NGC</x:v>
      </x:c>
      <x:c r="N109" t="str">
        <x:v>Jhimpir–Gharo wind corridor</x:v>
      </x:c>
    </x:row>
    <x:row r="110" ht="18" customHeight="1">
      <x:c r="A110" t="str">
        <x:v>B01-095</x:v>
      </x:c>
      <x:c r="B110" t="str">
        <x:v>Master</x:v>
      </x:c>
      <x:c r="C110" t="str">
        <x:v>Wind</x:v>
      </x:c>
      <x:c r="D110" t="str">
        <x:v>Wind</x:v>
      </x:c>
      <x:c r="E110" s="20" t="n">
        <x:v>50</x:v>
      </x:c>
      <x:c r="F110" s="20" t="n">
        <x:v>50</x:v>
      </x:c>
      <x:c r="G110" t="str">
        <x:v>Sindh</x:v>
      </x:c>
      <x:c r="H110" t="str">
        <x:v>Cluster proxy</x:v>
      </x:c>
      <x:c r="I110" t="n">
        <x:v>25.01</x:v>
      </x:c>
      <x:c r="J110" t="n">
        <x:v>67.98</x:v>
      </x:c>
      <x:c r="K110"/>
      <x:c r="L110" t="n">
        <x:v>152</x:v>
      </x:c>
      <x:c r="M110" t="str">
        <x:v>NGC</x:v>
      </x:c>
      <x:c r="N110" t="str">
        <x:v>Jhimpir–Gharo wind corridor</x:v>
      </x:c>
    </x:row>
    <x:row r="111" ht="18" customHeight="1">
      <x:c r="A111" t="str">
        <x:v>B01-096</x:v>
      </x:c>
      <x:c r="B111" t="str">
        <x:v>Master Green</x:v>
      </x:c>
      <x:c r="C111" t="str">
        <x:v>Wind</x:v>
      </x:c>
      <x:c r="D111" t="str">
        <x:v>Wind</x:v>
      </x:c>
      <x:c r="E111" s="20" t="n">
        <x:v>50</x:v>
      </x:c>
      <x:c r="F111" s="20" t="n">
        <x:v>50</x:v>
      </x:c>
      <x:c r="G111" t="str">
        <x:v>Sindh</x:v>
      </x:c>
      <x:c r="H111" t="str">
        <x:v>Cluster proxy</x:v>
      </x:c>
      <x:c r="I111" t="n">
        <x:v>25.01</x:v>
      </x:c>
      <x:c r="J111" t="n">
        <x:v>67.98</x:v>
      </x:c>
      <x:c r="K111"/>
      <x:c r="L111" t="n">
        <x:v>152</x:v>
      </x:c>
      <x:c r="M111" t="str">
        <x:v>NGC</x:v>
      </x:c>
      <x:c r="N111" t="str">
        <x:v>Jhimpir–Gharo wind corridor</x:v>
      </x:c>
    </x:row>
    <x:row r="112" ht="18" customHeight="1">
      <x:c r="A112" t="str">
        <x:v>B01-097</x:v>
      </x:c>
      <x:c r="B112" t="str">
        <x:v>Metro_Wind</x:v>
      </x:c>
      <x:c r="C112" t="str">
        <x:v>Wind</x:v>
      </x:c>
      <x:c r="D112" t="str">
        <x:v>Wind</x:v>
      </x:c>
      <x:c r="E112" s="20" t="n">
        <x:v>50</x:v>
      </x:c>
      <x:c r="F112" s="20" t="n">
        <x:v>50</x:v>
      </x:c>
      <x:c r="G112" t="str">
        <x:v>Sindh</x:v>
      </x:c>
      <x:c r="H112" t="str">
        <x:v>Cluster proxy</x:v>
      </x:c>
      <x:c r="I112" t="n">
        <x:v>25.01</x:v>
      </x:c>
      <x:c r="J112" t="n">
        <x:v>67.98</x:v>
      </x:c>
      <x:c r="K112"/>
      <x:c r="L112" t="n">
        <x:v>152</x:v>
      </x:c>
      <x:c r="M112" t="str">
        <x:v>NGC</x:v>
      </x:c>
      <x:c r="N112" t="str">
        <x:v>Jhimpir–Gharo wind corridor</x:v>
      </x:c>
    </x:row>
    <x:row r="113" ht="18" customHeight="1">
      <x:c r="A113" t="str">
        <x:v>B01-098</x:v>
      </x:c>
      <x:c r="B113" t="str">
        <x:v>Metro_Wind-II</x:v>
      </x:c>
      <x:c r="C113" t="str">
        <x:v>Wind</x:v>
      </x:c>
      <x:c r="D113" t="str">
        <x:v>Wind</x:v>
      </x:c>
      <x:c r="E113" s="20" t="n">
        <x:v>60</x:v>
      </x:c>
      <x:c r="F113" s="20" t="n">
        <x:v>60</x:v>
      </x:c>
      <x:c r="G113" t="str">
        <x:v>Sindh</x:v>
      </x:c>
      <x:c r="H113" t="str">
        <x:v>Cluster proxy</x:v>
      </x:c>
      <x:c r="I113" t="n">
        <x:v>25.01</x:v>
      </x:c>
      <x:c r="J113" t="n">
        <x:v>67.98</x:v>
      </x:c>
      <x:c r="K113"/>
      <x:c r="L113" t="n">
        <x:v>152</x:v>
      </x:c>
      <x:c r="M113" t="str">
        <x:v>NGC</x:v>
      </x:c>
      <x:c r="N113" t="str">
        <x:v>Jhimpir–Gharo wind corridor</x:v>
      </x:c>
    </x:row>
    <x:row r="114" ht="18" customHeight="1">
      <x:c r="A114" t="str">
        <x:v>B01-099</x:v>
      </x:c>
      <x:c r="B114" t="str">
        <x:v>NASDA Green Wind</x:v>
      </x:c>
      <x:c r="C114" t="str">
        <x:v>Wind</x:v>
      </x:c>
      <x:c r="D114" t="str">
        <x:v>Wind</x:v>
      </x:c>
      <x:c r="E114" s="20" t="n">
        <x:v>50</x:v>
      </x:c>
      <x:c r="F114" s="20" t="n">
        <x:v>50</x:v>
      </x:c>
      <x:c r="G114" t="str">
        <x:v>Sindh</x:v>
      </x:c>
      <x:c r="H114" t="str">
        <x:v>Cluster proxy</x:v>
      </x:c>
      <x:c r="I114" t="n">
        <x:v>25.01</x:v>
      </x:c>
      <x:c r="J114" t="n">
        <x:v>67.98</x:v>
      </x:c>
      <x:c r="K114"/>
      <x:c r="L114" t="n">
        <x:v>152</x:v>
      </x:c>
      <x:c r="M114" t="str">
        <x:v>NGC</x:v>
      </x:c>
      <x:c r="N114" t="str">
        <x:v>Jhimpir–Gharo wind corridor</x:v>
      </x:c>
    </x:row>
    <x:row r="115" ht="18" customHeight="1">
      <x:c r="A115" t="str">
        <x:v>B01-100</x:v>
      </x:c>
      <x:c r="B115" t="str">
        <x:v>Sachal</x:v>
      </x:c>
      <x:c r="C115" t="str">
        <x:v>Wind</x:v>
      </x:c>
      <x:c r="D115" t="str">
        <x:v>Wind</x:v>
      </x:c>
      <x:c r="E115" s="20" t="n">
        <x:v>50</x:v>
      </x:c>
      <x:c r="F115" s="20" t="n">
        <x:v>50</x:v>
      </x:c>
      <x:c r="G115" t="str">
        <x:v>Sindh</x:v>
      </x:c>
      <x:c r="H115" t="str">
        <x:v>Cluster proxy</x:v>
      </x:c>
      <x:c r="I115" t="n">
        <x:v>25.01</x:v>
      </x:c>
      <x:c r="J115" t="n">
        <x:v>67.98</x:v>
      </x:c>
      <x:c r="K115"/>
      <x:c r="L115" t="n">
        <x:v>152</x:v>
      </x:c>
      <x:c r="M115" t="str">
        <x:v>NGC</x:v>
      </x:c>
      <x:c r="N115" t="str">
        <x:v>Jhimpir–Gharo wind corridor</x:v>
      </x:c>
    </x:row>
    <x:row r="116" ht="18" customHeight="1">
      <x:c r="A116" t="str">
        <x:v>B01-101</x:v>
      </x:c>
      <x:c r="B116" t="str">
        <x:v>Sapphire_Wind</x:v>
      </x:c>
      <x:c r="C116" t="str">
        <x:v>Wind</x:v>
      </x:c>
      <x:c r="D116" t="str">
        <x:v>Wind</x:v>
      </x:c>
      <x:c r="E116" s="20" t="n">
        <x:v>50</x:v>
      </x:c>
      <x:c r="F116" s="20" t="n">
        <x:v>50</x:v>
      </x:c>
      <x:c r="G116" t="str">
        <x:v>Sindh</x:v>
      </x:c>
      <x:c r="H116" t="str">
        <x:v>Cluster proxy</x:v>
      </x:c>
      <x:c r="I116" t="n">
        <x:v>25.01</x:v>
      </x:c>
      <x:c r="J116" t="n">
        <x:v>67.98</x:v>
      </x:c>
      <x:c r="K116"/>
      <x:c r="L116" t="n">
        <x:v>152</x:v>
      </x:c>
      <x:c r="M116" t="str">
        <x:v>NGC</x:v>
      </x:c>
      <x:c r="N116" t="str">
        <x:v>Jhimpir–Gharo wind corridor</x:v>
      </x:c>
    </x:row>
    <x:row r="117" ht="18" customHeight="1">
      <x:c r="A117" t="str">
        <x:v>B01-102</x:v>
      </x:c>
      <x:c r="B117" t="str">
        <x:v>Tapal Wind-2</x:v>
      </x:c>
      <x:c r="C117" t="str">
        <x:v>Wind</x:v>
      </x:c>
      <x:c r="D117" t="str">
        <x:v>Wind</x:v>
      </x:c>
      <x:c r="E117" s="20" t="n">
        <x:v>50</x:v>
      </x:c>
      <x:c r="F117" s="20" t="n">
        <x:v>50</x:v>
      </x:c>
      <x:c r="G117" t="str">
        <x:v>Sindh</x:v>
      </x:c>
      <x:c r="H117" t="str">
        <x:v>Cluster proxy</x:v>
      </x:c>
      <x:c r="I117" t="n">
        <x:v>25.01</x:v>
      </x:c>
      <x:c r="J117" t="n">
        <x:v>67.98</x:v>
      </x:c>
      <x:c r="K117"/>
      <x:c r="L117" t="n">
        <x:v>152</x:v>
      </x:c>
      <x:c r="M117" t="str">
        <x:v>NGC</x:v>
      </x:c>
      <x:c r="N117" t="str">
        <x:v>Jhimpir–Gharo wind corridor</x:v>
      </x:c>
    </x:row>
    <x:row r="118" ht="18" customHeight="1">
      <x:c r="A118" t="str">
        <x:v>B01-103</x:v>
      </x:c>
      <x:c r="B118" t="str">
        <x:v>Tenaga</x:v>
      </x:c>
      <x:c r="C118" t="str">
        <x:v>Wind</x:v>
      </x:c>
      <x:c r="D118" t="str">
        <x:v>Wind</x:v>
      </x:c>
      <x:c r="E118" s="20" t="n">
        <x:v>50</x:v>
      </x:c>
      <x:c r="F118" s="20" t="n">
        <x:v>50</x:v>
      </x:c>
      <x:c r="G118" t="str">
        <x:v>Sindh</x:v>
      </x:c>
      <x:c r="H118" t="str">
        <x:v>Cluster proxy</x:v>
      </x:c>
      <x:c r="I118" t="n">
        <x:v>25.01</x:v>
      </x:c>
      <x:c r="J118" t="n">
        <x:v>67.98</x:v>
      </x:c>
      <x:c r="K118"/>
      <x:c r="L118" t="n">
        <x:v>152</x:v>
      </x:c>
      <x:c r="M118" t="str">
        <x:v>NGC</x:v>
      </x:c>
      <x:c r="N118" t="str">
        <x:v>Jhimpir–Gharo wind corridor</x:v>
      </x:c>
    </x:row>
    <x:row r="119" ht="18" customHeight="1">
      <x:c r="A119" t="str">
        <x:v>B01-104</x:v>
      </x:c>
      <x:c r="B119" t="str">
        <x:v>Three_Gorges_I</x:v>
      </x:c>
      <x:c r="C119" t="str">
        <x:v>Wind</x:v>
      </x:c>
      <x:c r="D119" t="str">
        <x:v>Wind</x:v>
      </x:c>
      <x:c r="E119" s="20" t="n">
        <x:v>50</x:v>
      </x:c>
      <x:c r="F119" s="20" t="n">
        <x:v>50</x:v>
      </x:c>
      <x:c r="G119" t="str">
        <x:v>Sindh</x:v>
      </x:c>
      <x:c r="H119" t="str">
        <x:v>Cluster proxy</x:v>
      </x:c>
      <x:c r="I119" t="n">
        <x:v>25.01</x:v>
      </x:c>
      <x:c r="J119" t="n">
        <x:v>67.98</x:v>
      </x:c>
      <x:c r="K119"/>
      <x:c r="L119" t="n">
        <x:v>152</x:v>
      </x:c>
      <x:c r="M119" t="str">
        <x:v>NGC</x:v>
      </x:c>
      <x:c r="N119" t="str">
        <x:v>Jhimpir–Gharo wind corridor</x:v>
      </x:c>
    </x:row>
    <x:row r="120" ht="18" customHeight="1">
      <x:c r="A120" t="str">
        <x:v>B01-105</x:v>
      </x:c>
      <x:c r="B120" t="str">
        <x:v>Three_Gorges_II</x:v>
      </x:c>
      <x:c r="C120" t="str">
        <x:v>Wind</x:v>
      </x:c>
      <x:c r="D120" t="str">
        <x:v>Wind</x:v>
      </x:c>
      <x:c r="E120" s="20" t="n">
        <x:v>50</x:v>
      </x:c>
      <x:c r="F120" s="20" t="n">
        <x:v>50</x:v>
      </x:c>
      <x:c r="G120" t="str">
        <x:v>Sindh</x:v>
      </x:c>
      <x:c r="H120" t="str">
        <x:v>Cluster proxy</x:v>
      </x:c>
      <x:c r="I120" t="n">
        <x:v>25.01</x:v>
      </x:c>
      <x:c r="J120" t="n">
        <x:v>67.98</x:v>
      </x:c>
      <x:c r="K120"/>
      <x:c r="L120" t="n">
        <x:v>152</x:v>
      </x:c>
      <x:c r="M120" t="str">
        <x:v>NGC</x:v>
      </x:c>
      <x:c r="N120" t="str">
        <x:v>Jhimpir–Gharo wind corridor</x:v>
      </x:c>
    </x:row>
    <x:row r="121" ht="18" customHeight="1">
      <x:c r="A121" t="str">
        <x:v>B01-106</x:v>
      </x:c>
      <x:c r="B121" t="str">
        <x:v>Three_Gorges_III</x:v>
      </x:c>
      <x:c r="C121" t="str">
        <x:v>Wind</x:v>
      </x:c>
      <x:c r="D121" t="str">
        <x:v>Wind</x:v>
      </x:c>
      <x:c r="E121" s="20" t="n">
        <x:v>50</x:v>
      </x:c>
      <x:c r="F121" s="20" t="n">
        <x:v>50</x:v>
      </x:c>
      <x:c r="G121" t="str">
        <x:v>Sindh</x:v>
      </x:c>
      <x:c r="H121" t="str">
        <x:v>Cluster proxy</x:v>
      </x:c>
      <x:c r="I121" t="n">
        <x:v>25.01</x:v>
      </x:c>
      <x:c r="J121" t="n">
        <x:v>67.98</x:v>
      </x:c>
      <x:c r="K121"/>
      <x:c r="L121" t="n">
        <x:v>152</x:v>
      </x:c>
      <x:c r="M121" t="str">
        <x:v>NGC</x:v>
      </x:c>
      <x:c r="N121" t="str">
        <x:v>Jhimpir–Gharo wind corridor</x:v>
      </x:c>
    </x:row>
    <x:row r="122" ht="18" customHeight="1">
      <x:c r="A122" t="str">
        <x:v>B01-107</x:v>
      </x:c>
      <x:c r="B122" t="str">
        <x:v>Tricom</x:v>
      </x:c>
      <x:c r="C122" t="str">
        <x:v>Wind</x:v>
      </x:c>
      <x:c r="D122" t="str">
        <x:v>Wind</x:v>
      </x:c>
      <x:c r="E122" s="20" t="n">
        <x:v>50</x:v>
      </x:c>
      <x:c r="F122" s="20" t="n">
        <x:v>50</x:v>
      </x:c>
      <x:c r="G122" t="str">
        <x:v>Sindh</x:v>
      </x:c>
      <x:c r="H122" t="str">
        <x:v>Cluster proxy</x:v>
      </x:c>
      <x:c r="I122" t="n">
        <x:v>25.01</x:v>
      </x:c>
      <x:c r="J122" t="n">
        <x:v>67.98</x:v>
      </x:c>
      <x:c r="K122"/>
      <x:c r="L122" t="n">
        <x:v>152</x:v>
      </x:c>
      <x:c r="M122" t="str">
        <x:v>NGC</x:v>
      </x:c>
      <x:c r="N122" t="str">
        <x:v>Jhimpir–Gharo wind corridor</x:v>
      </x:c>
    </x:row>
    <x:row r="123" ht="18" customHeight="1">
      <x:c r="A123" t="str">
        <x:v>B01-108</x:v>
      </x:c>
      <x:c r="B123" t="str">
        <x:v>Tricon_A</x:v>
      </x:c>
      <x:c r="C123" t="str">
        <x:v>Wind</x:v>
      </x:c>
      <x:c r="D123" t="str">
        <x:v>Wind</x:v>
      </x:c>
      <x:c r="E123" s="20" t="n">
        <x:v>50</x:v>
      </x:c>
      <x:c r="F123" s="20" t="n">
        <x:v>50</x:v>
      </x:c>
      <x:c r="G123" t="str">
        <x:v>Sindh</x:v>
      </x:c>
      <x:c r="H123" t="str">
        <x:v>Cluster proxy</x:v>
      </x:c>
      <x:c r="I123" t="n">
        <x:v>25.01</x:v>
      </x:c>
      <x:c r="J123" t="n">
        <x:v>67.98</x:v>
      </x:c>
      <x:c r="K123"/>
      <x:c r="L123" t="n">
        <x:v>152</x:v>
      </x:c>
      <x:c r="M123" t="str">
        <x:v>NGC</x:v>
      </x:c>
      <x:c r="N123" t="str">
        <x:v>Jhimpir–Gharo wind corridor</x:v>
      </x:c>
    </x:row>
    <x:row r="124" ht="18" customHeight="1">
      <x:c r="A124" t="str">
        <x:v>B01-109</x:v>
      </x:c>
      <x:c r="B124" t="str">
        <x:v>Tricon_B</x:v>
      </x:c>
      <x:c r="C124" t="str">
        <x:v>Wind</x:v>
      </x:c>
      <x:c r="D124" t="str">
        <x:v>Wind</x:v>
      </x:c>
      <x:c r="E124" s="20" t="n">
        <x:v>50</x:v>
      </x:c>
      <x:c r="F124" s="20" t="n">
        <x:v>50</x:v>
      </x:c>
      <x:c r="G124" t="str">
        <x:v>Sindh</x:v>
      </x:c>
      <x:c r="H124" t="str">
        <x:v>Cluster proxy</x:v>
      </x:c>
      <x:c r="I124" t="n">
        <x:v>25.01</x:v>
      </x:c>
      <x:c r="J124" t="n">
        <x:v>67.98</x:v>
      </x:c>
      <x:c r="K124"/>
      <x:c r="L124" t="n">
        <x:v>152</x:v>
      </x:c>
      <x:c r="M124" t="str">
        <x:v>NGC</x:v>
      </x:c>
      <x:c r="N124" t="str">
        <x:v>Jhimpir–Gharo wind corridor</x:v>
      </x:c>
    </x:row>
    <x:row r="125" ht="18" customHeight="1">
      <x:c r="A125" t="str">
        <x:v>B01-110</x:v>
      </x:c>
      <x:c r="B125" t="str">
        <x:v>Tricon_C</x:v>
      </x:c>
      <x:c r="C125" t="str">
        <x:v>Wind</x:v>
      </x:c>
      <x:c r="D125" t="str">
        <x:v>Wind</x:v>
      </x:c>
      <x:c r="E125" s="20" t="n">
        <x:v>50</x:v>
      </x:c>
      <x:c r="F125" s="20" t="n">
        <x:v>50</x:v>
      </x:c>
      <x:c r="G125" t="str">
        <x:v>Sindh</x:v>
      </x:c>
      <x:c r="H125" t="str">
        <x:v>Cluster proxy</x:v>
      </x:c>
      <x:c r="I125" t="n">
        <x:v>25.01</x:v>
      </x:c>
      <x:c r="J125" t="n">
        <x:v>67.98</x:v>
      </x:c>
      <x:c r="K125"/>
      <x:c r="L125" t="n">
        <x:v>152</x:v>
      </x:c>
      <x:c r="M125" t="str">
        <x:v>NGC</x:v>
      </x:c>
      <x:c r="N125" t="str">
        <x:v>Jhimpir–Gharo wind corridor</x:v>
      </x:c>
    </x:row>
    <x:row r="126" ht="18" customHeight="1">
      <x:c r="A126" t="str">
        <x:v>B01-111</x:v>
      </x:c>
      <x:c r="B126" t="str">
        <x:v>UEP</x:v>
      </x:c>
      <x:c r="C126" t="str">
        <x:v>Wind</x:v>
      </x:c>
      <x:c r="D126" t="str">
        <x:v>Wind</x:v>
      </x:c>
      <x:c r="E126" s="20" t="n">
        <x:v>99</x:v>
      </x:c>
      <x:c r="F126" s="20" t="n">
        <x:v>99</x:v>
      </x:c>
      <x:c r="G126" t="str">
        <x:v>Sindh</x:v>
      </x:c>
      <x:c r="H126" t="str">
        <x:v>Cluster proxy</x:v>
      </x:c>
      <x:c r="I126" t="n">
        <x:v>25.01</x:v>
      </x:c>
      <x:c r="J126" t="n">
        <x:v>67.98</x:v>
      </x:c>
      <x:c r="K126"/>
      <x:c r="L126" t="n">
        <x:v>152</x:v>
      </x:c>
      <x:c r="M126" t="str">
        <x:v>NGC</x:v>
      </x:c>
      <x:c r="N126" t="str">
        <x:v>Jhimpir–Gharo wind corridor</x:v>
      </x:c>
    </x:row>
    <x:row r="127" ht="18" customHeight="1">
      <x:c r="A127" t="str">
        <x:v>B01-112</x:v>
      </x:c>
      <x:c r="B127" t="str">
        <x:v>Yunus</x:v>
      </x:c>
      <x:c r="C127" t="str">
        <x:v>Wind</x:v>
      </x:c>
      <x:c r="D127" t="str">
        <x:v>Wind</x:v>
      </x:c>
      <x:c r="E127" s="20" t="n">
        <x:v>50</x:v>
      </x:c>
      <x:c r="F127" s="20" t="n">
        <x:v>50</x:v>
      </x:c>
      <x:c r="G127" t="str">
        <x:v>Sindh</x:v>
      </x:c>
      <x:c r="H127" t="str">
        <x:v>Cluster proxy</x:v>
      </x:c>
      <x:c r="I127" t="n">
        <x:v>25.01</x:v>
      </x:c>
      <x:c r="J127" t="n">
        <x:v>67.98</x:v>
      </x:c>
      <x:c r="K127"/>
      <x:c r="L127" t="n">
        <x:v>152</x:v>
      </x:c>
      <x:c r="M127" t="str">
        <x:v>NGC</x:v>
      </x:c>
      <x:c r="N127" t="str">
        <x:v>Jhimpir–Gharo wind corridor</x:v>
      </x:c>
    </x:row>
    <x:row r="128" ht="18" customHeight="1">
      <x:c r="A128" t="str">
        <x:v>B01-113</x:v>
      </x:c>
      <x:c r="B128" t="str">
        <x:v>Zephyr</x:v>
      </x:c>
      <x:c r="C128" t="str">
        <x:v>Wind</x:v>
      </x:c>
      <x:c r="D128" t="str">
        <x:v>Wind</x:v>
      </x:c>
      <x:c r="E128" s="20" t="n">
        <x:v>50</x:v>
      </x:c>
      <x:c r="F128" s="20" t="n">
        <x:v>50</x:v>
      </x:c>
      <x:c r="G128" t="str">
        <x:v>Sindh</x:v>
      </x:c>
      <x:c r="H128" t="str">
        <x:v>Cluster proxy</x:v>
      </x:c>
      <x:c r="I128" t="n">
        <x:v>25.01</x:v>
      </x:c>
      <x:c r="J128" t="n">
        <x:v>67.98</x:v>
      </x:c>
      <x:c r="K128"/>
      <x:c r="L128" t="n">
        <x:v>152</x:v>
      </x:c>
      <x:c r="M128" t="str">
        <x:v>NGC</x:v>
      </x:c>
      <x:c r="N128" t="str">
        <x:v>Jhimpir–Gharo wind corridor</x:v>
      </x:c>
    </x:row>
    <x:row r="129" ht="18" customHeight="1">
      <x:c r="A129" t="str">
        <x:v>B01-114</x:v>
      </x:c>
      <x:c r="B129" t="str">
        <x:v>Zorlu_Wind</x:v>
      </x:c>
      <x:c r="C129" t="str">
        <x:v>Wind</x:v>
      </x:c>
      <x:c r="D129" t="str">
        <x:v>Wind</x:v>
      </x:c>
      <x:c r="E129" s="20" t="n">
        <x:v>56</x:v>
      </x:c>
      <x:c r="F129" s="20" t="n">
        <x:v>56</x:v>
      </x:c>
      <x:c r="G129" t="str">
        <x:v>Sindh</x:v>
      </x:c>
      <x:c r="H129" t="str">
        <x:v>Cluster proxy</x:v>
      </x:c>
      <x:c r="I129" t="n">
        <x:v>25.01</x:v>
      </x:c>
      <x:c r="J129" t="n">
        <x:v>67.98</x:v>
      </x:c>
      <x:c r="K129"/>
      <x:c r="L129" t="n">
        <x:v>152</x:v>
      </x:c>
      <x:c r="M129" t="str">
        <x:v>NGC</x:v>
      </x:c>
      <x:c r="N129" t="str">
        <x:v>Jhimpir–Gharo wind corridor</x:v>
      </x:c>
    </x:row>
    <x:row r="130" ht="18" customHeight="1">
      <x:c r="A130" t="str">
        <x:v>B01-115</x:v>
      </x:c>
      <x:c r="B130" t="str">
        <x:v>Liberty Wind-II</x:v>
      </x:c>
      <x:c r="C130" t="str">
        <x:v>Wind</x:v>
      </x:c>
      <x:c r="D130" t="str">
        <x:v>Wind</x:v>
      </x:c>
      <x:c r="E130" s="20" t="n">
        <x:v>50</x:v>
      </x:c>
      <x:c r="F130" s="20" t="n">
        <x:v>50</x:v>
      </x:c>
      <x:c r="G130" t="str">
        <x:v>Sindh</x:v>
      </x:c>
      <x:c r="H130" t="str">
        <x:v>Cluster proxy</x:v>
      </x:c>
      <x:c r="I130" t="n">
        <x:v>25.01</x:v>
      </x:c>
      <x:c r="J130" t="n">
        <x:v>67.98</x:v>
      </x:c>
      <x:c r="K130"/>
      <x:c r="L130" t="n">
        <x:v>152</x:v>
      </x:c>
      <x:c r="M130" t="str">
        <x:v>NGC</x:v>
      </x:c>
      <x:c r="N130" t="str">
        <x:v>Jhimpir–Gharo wind corridor</x:v>
      </x:c>
    </x:row>
    <x:row r="131" ht="18" customHeight="1">
      <x:c r="A131" t="str">
        <x:v>B01-116</x:v>
      </x:c>
      <x:c r="B131" t="str">
        <x:v>Helios</x:v>
      </x:c>
      <x:c r="C131" t="str">
        <x:v>Solar PV</x:v>
      </x:c>
      <x:c r="D131" t="str">
        <x:v>Solar PV</x:v>
      </x:c>
      <x:c r="E131" s="20" t="n">
        <x:v>50</x:v>
      </x:c>
      <x:c r="F131" s="20" t="n">
        <x:v>50</x:v>
      </x:c>
      <x:c r="G131" t="str">
        <x:v>Unspecified / distributed</x:v>
      </x:c>
      <x:c r="H131" t="str">
        <x:v>Not located in IGCEP</x:v>
      </x:c>
      <x:c r="I131"/>
      <x:c r="J131"/>
      <x:c r="K131"/>
      <x:c r="L131" t="n">
        <x:v>152</x:v>
      </x:c>
      <x:c r="M131" t="str">
        <x:v>NGC</x:v>
      </x:c>
      <x:c r="N131" t="str">
        <x:v>Plant coordinates are not provided in the IGCEP; plotted coordinates are indicative.</x:v>
      </x:c>
    </x:row>
    <x:row r="132" ht="18" customHeight="1">
      <x:c r="A132" t="str">
        <x:v>B01-117</x:v>
      </x:c>
      <x:c r="B132" t="str">
        <x:v>HNDS</x:v>
      </x:c>
      <x:c r="C132" t="str">
        <x:v>Solar PV</x:v>
      </x:c>
      <x:c r="D132" t="str">
        <x:v>Solar PV</x:v>
      </x:c>
      <x:c r="E132" s="20" t="n">
        <x:v>50</x:v>
      </x:c>
      <x:c r="F132" s="20" t="n">
        <x:v>50</x:v>
      </x:c>
      <x:c r="G132" t="str">
        <x:v>Unspecified / distributed</x:v>
      </x:c>
      <x:c r="H132" t="str">
        <x:v>Not located in IGCEP</x:v>
      </x:c>
      <x:c r="I132"/>
      <x:c r="J132"/>
      <x:c r="K132"/>
      <x:c r="L132" t="n">
        <x:v>152</x:v>
      </x:c>
      <x:c r="M132" t="str">
        <x:v>NGC</x:v>
      </x:c>
      <x:c r="N132" t="str">
        <x:v>Plant coordinates are not provided in the IGCEP; plotted coordinates are indicative.</x:v>
      </x:c>
    </x:row>
    <x:row r="133" ht="18" customHeight="1">
      <x:c r="A133" t="str">
        <x:v>B01-118</x:v>
      </x:c>
      <x:c r="B133" t="str">
        <x:v>Meridian</x:v>
      </x:c>
      <x:c r="C133" t="str">
        <x:v>Solar PV</x:v>
      </x:c>
      <x:c r="D133" t="str">
        <x:v>Solar PV</x:v>
      </x:c>
      <x:c r="E133" s="20" t="n">
        <x:v>50</x:v>
      </x:c>
      <x:c r="F133" s="20" t="n">
        <x:v>50</x:v>
      </x:c>
      <x:c r="G133" t="str">
        <x:v>Unspecified / distributed</x:v>
      </x:c>
      <x:c r="H133" t="str">
        <x:v>Not located in IGCEP</x:v>
      </x:c>
      <x:c r="I133"/>
      <x:c r="J133"/>
      <x:c r="K133"/>
      <x:c r="L133" t="n">
        <x:v>152</x:v>
      </x:c>
      <x:c r="M133" t="str">
        <x:v>NGC</x:v>
      </x:c>
      <x:c r="N133" t="str">
        <x:v>Plant coordinates are not provided in the IGCEP; plotted coordinates are indicative.</x:v>
      </x:c>
    </x:row>
    <x:row r="134" ht="18" customHeight="1">
      <x:c r="A134" t="str">
        <x:v>B01-119</x:v>
      </x:c>
      <x:c r="B134" t="str">
        <x:v>Appolo Solar</x:v>
      </x:c>
      <x:c r="C134" t="str">
        <x:v>Solar PV</x:v>
      </x:c>
      <x:c r="D134" t="str">
        <x:v>Solar PV</x:v>
      </x:c>
      <x:c r="E134" s="20" t="n">
        <x:v>100</x:v>
      </x:c>
      <x:c r="F134" s="20" t="n">
        <x:v>100</x:v>
      </x:c>
      <x:c r="G134" t="str">
        <x:v>Unspecified / distributed</x:v>
      </x:c>
      <x:c r="H134" t="str">
        <x:v>Not located in IGCEP</x:v>
      </x:c>
      <x:c r="I134"/>
      <x:c r="J134"/>
      <x:c r="K134"/>
      <x:c r="L134" t="n">
        <x:v>152</x:v>
      </x:c>
      <x:c r="M134" t="str">
        <x:v>NGC</x:v>
      </x:c>
      <x:c r="N134" t="str">
        <x:v>Plant coordinates are not provided in the IGCEP; plotted coordinates are indicative.</x:v>
      </x:c>
    </x:row>
    <x:row r="135" ht="18" customHeight="1">
      <x:c r="A135" t="str">
        <x:v>B01-120</x:v>
      </x:c>
      <x:c r="B135" t="str">
        <x:v>Best</x:v>
      </x:c>
      <x:c r="C135" t="str">
        <x:v>Solar PV</x:v>
      </x:c>
      <x:c r="D135" t="str">
        <x:v>Solar PV</x:v>
      </x:c>
      <x:c r="E135" s="20" t="n">
        <x:v>100</x:v>
      </x:c>
      <x:c r="F135" s="20" t="n">
        <x:v>100</x:v>
      </x:c>
      <x:c r="G135" t="str">
        <x:v>Unspecified / distributed</x:v>
      </x:c>
      <x:c r="H135" t="str">
        <x:v>Not located in IGCEP</x:v>
      </x:c>
      <x:c r="I135"/>
      <x:c r="J135"/>
      <x:c r="K135"/>
      <x:c r="L135" t="n">
        <x:v>152</x:v>
      </x:c>
      <x:c r="M135" t="str">
        <x:v>NGC</x:v>
      </x:c>
      <x:c r="N135" t="str">
        <x:v>Plant coordinates are not provided in the IGCEP; plotted coordinates are indicative.</x:v>
      </x:c>
    </x:row>
    <x:row r="136" ht="18" customHeight="1">
      <x:c r="A136" t="str">
        <x:v>B01-121</x:v>
      </x:c>
      <x:c r="B136" t="str">
        <x:v>Crest</x:v>
      </x:c>
      <x:c r="C136" t="str">
        <x:v>Solar PV</x:v>
      </x:c>
      <x:c r="D136" t="str">
        <x:v>Solar PV</x:v>
      </x:c>
      <x:c r="E136" s="20" t="n">
        <x:v>100</x:v>
      </x:c>
      <x:c r="F136" s="20" t="n">
        <x:v>100</x:v>
      </x:c>
      <x:c r="G136" t="str">
        <x:v>Unspecified / distributed</x:v>
      </x:c>
      <x:c r="H136" t="str">
        <x:v>Not located in IGCEP</x:v>
      </x:c>
      <x:c r="I136"/>
      <x:c r="J136"/>
      <x:c r="K136"/>
      <x:c r="L136" t="n">
        <x:v>152</x:v>
      </x:c>
      <x:c r="M136" t="str">
        <x:v>NGC</x:v>
      </x:c>
      <x:c r="N136" t="str">
        <x:v>Plant coordinates are not provided in the IGCEP; plotted coordinates are indicative.</x:v>
      </x:c>
    </x:row>
    <x:row r="137" ht="18" customHeight="1">
      <x:c r="A137" t="str">
        <x:v>B01-122</x:v>
      </x:c>
      <x:c r="B137" t="str">
        <x:v>QA_Solar</x:v>
      </x:c>
      <x:c r="C137" t="str">
        <x:v>Solar PV</x:v>
      </x:c>
      <x:c r="D137" t="str">
        <x:v>Solar PV</x:v>
      </x:c>
      <x:c r="E137" s="20" t="n">
        <x:v>100</x:v>
      </x:c>
      <x:c r="F137" s="20" t="n">
        <x:v>100</x:v>
      </x:c>
      <x:c r="G137" t="str">
        <x:v>Punjab</x:v>
      </x:c>
      <x:c r="H137" t="str">
        <x:v>Site vicinity</x:v>
      </x:c>
      <x:c r="I137" t="n">
        <x:v>29.39</x:v>
      </x:c>
      <x:c r="J137" t="n">
        <x:v>71.75</x:v>
      </x:c>
      <x:c r="K137"/>
      <x:c r="L137" t="n">
        <x:v>152</x:v>
      </x:c>
      <x:c r="M137" t="str">
        <x:v>NGC</x:v>
      </x:c>
      <x:c r="N137" t="str">
        <x:v>Quaid-e-Azam Solar Park–Bahawalpur</x:v>
      </x:c>
    </x:row>
    <x:row r="138" ht="18" customHeight="1">
      <x:c r="A138" t="str">
        <x:v>B01-123</x:v>
      </x:c>
      <x:c r="B138" t="str">
        <x:v>Zhenfa</x:v>
      </x:c>
      <x:c r="C138" t="str">
        <x:v>Solar PV</x:v>
      </x:c>
      <x:c r="D138" t="str">
        <x:v>Solar PV</x:v>
      </x:c>
      <x:c r="E138" s="20" t="n">
        <x:v>100</x:v>
      </x:c>
      <x:c r="F138" s="20" t="n">
        <x:v>100</x:v>
      </x:c>
      <x:c r="G138" t="str">
        <x:v>Unspecified / distributed</x:v>
      </x:c>
      <x:c r="H138" t="str">
        <x:v>Not located in IGCEP</x:v>
      </x:c>
      <x:c r="I138"/>
      <x:c r="J138"/>
      <x:c r="K138"/>
      <x:c r="L138" t="n">
        <x:v>152</x:v>
      </x:c>
      <x:c r="M138" t="str">
        <x:v>NGC</x:v>
      </x:c>
      <x:c r="N138" t="str">
        <x:v>Plant coordinates are not provided in the IGCEP; plotted coordinates are indicative.</x:v>
      </x:c>
    </x:row>
    <x:row r="139" ht="18" customHeight="1">
      <x:c r="A139" t="str">
        <x:v>B-IMPORT</x:v>
      </x:c>
      <x:c r="B139" t="str">
        <x:v>Import from Iran</x:v>
      </x:c>
      <x:c r="C139" t="str">
        <x:v>Cross-border</x:v>
      </x:c>
      <x:c r="D139" t="str">
        <x:v>Cross-border import</x:v>
      </x:c>
      <x:c r="E139" s="20" t="n">
        <x:v>100</x:v>
      </x:c>
      <x:c r="F139" s="20" t="n">
        <x:v>100</x:v>
      </x:c>
      <x:c r="G139" t="str">
        <x:v>Unspecified / distributed</x:v>
      </x:c>
      <x:c r="H139" t="str">
        <x:v>Not located in IGCEP</x:v>
      </x:c>
      <x:c r="I139"/>
      <x:c r="J139"/>
      <x:c r="K139"/>
      <x:c r="L139" t="n">
        <x:v>153</x:v>
      </x:c>
      <x:c r="M139" t="str">
        <x:v>NGC</x:v>
      </x:c>
      <x:c r="N139" t="str">
        <x:v>Region inferred from project/agency context; site not geocoded.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37f99daa9cf406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9" hidden="0" customWidth="1"/>
    <x:col min="4" max="4" width="18" hidden="0" customWidth="1"/>
    <x:col min="5" max="5" width="27" hidden="0" customWidth="1"/>
    <x:col min="6" max="6" width="16" hidden="0" customWidth="1"/>
    <x:col min="7" max="7" width="26" hidden="0" customWidth="1"/>
    <x:col min="8" max="8" width="28" hidden="0" customWidth="1"/>
    <x:col min="9" max="9" width="22" hidden="0" customWidth="1"/>
    <x:col min="10" max="10" width="14" hidden="0" customWidth="1"/>
    <x:col min="11" max="11" width="20" hidden="0" customWidth="1"/>
    <x:col min="12" max="12" width="55" hidden="0" customWidth="1"/>
  </x:cols>
  <x:sheetData>
    <x:row r="1" ht="30" customHeight="1">
      <x:c r="A1" s="4" t="str">
        <x:v>Retirement Schedule • FY2025–2035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10" t="str">
        <x:v>Table 5-2: 11 entries and 2,577 MW planned retirements; note several source-to-baseline name/MW mismatches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6" customHeight="1">
      <x:c r="A3" s="16" t="str">
        <x:v>Table 5-2 row</x:v>
      </x:c>
      <x:c r="B3" s="16" t="str">
        <x:v>Station name (source)</x:v>
      </x:c>
      <x:c r="C3" s="16" t="str">
        <x:v>Technology</x:v>
      </x:c>
      <x:c r="D3" s="16" t="str">
        <x:v>Retirement FY</x:v>
      </x:c>
      <x:c r="E3" s="16" t="str">
        <x:v>Installed capacity retired MW</x:v>
      </x:c>
      <x:c r="F3" s="16" t="str">
        <x:v>Fuel</x:v>
      </x:c>
      <x:c r="G3" s="16" t="str">
        <x:v>Region (indicative)</x:v>
      </x:c>
      <x:c r="H3" s="16" t="str">
        <x:v>Locality / anchor</x:v>
      </x:c>
      <x:c r="I3" s="16" t="str">
        <x:v>Status</x:v>
      </x:c>
      <x:c r="J3" s="16" t="str">
        <x:v>PDF p.</x:v>
      </x:c>
      <x:c r="K3" s="16" t="str">
        <x:v>Baseline match</x:v>
      </x:c>
      <x:c r="L3" s="16" t="str">
        <x:v>Difference / interpretation</x:v>
      </x:c>
    </x:row>
    <x:row r="4" ht="18" customHeight="1">
      <x:c r="A4" t="n">
        <x:v>8</x:v>
      </x:c>
      <x:c r="B4" t="str">
        <x:v>Gael</x:v>
      </x:c>
      <x:c r="C4" t="str">
        <x:v>RFO</x:v>
      </x:c>
      <x:c r="D4" t="n">
        <x:v>2025</x:v>
      </x:c>
      <x:c r="E4" s="28" t="n">
        <x:v>136</x:v>
      </x:c>
      <x:c r="F4" t="str">
        <x:v>RFO</x:v>
      </x:c>
      <x:c r="G4" t="str">
        <x:v>Unspecified / distributed</x:v>
      </x:c>
      <x:c r="H4"/>
      <x:c r="I4" t="str">
        <x:v>Planned retirement</x:v>
      </x:c>
      <x:c r="J4" t="n">
        <x:v>89</x:v>
      </x:c>
      <x:c r="K4"/>
      <x:c r="L4" t="str">
        <x:v>Not in Nov-2024 B-1 named fleet</x:v>
      </x:c>
    </x:row>
    <x:row r="5" ht="18" customHeight="1">
      <x:c r="A5" t="n">
        <x:v>10</x:v>
      </x:c>
      <x:c r="B5" t="str">
        <x:v>BQPS1-U5</x:v>
      </x:c>
      <x:c r="C5" t="str">
        <x:v>RLNG</x:v>
      </x:c>
      <x:c r="D5" t="n">
        <x:v>2027</x:v>
      </x:c>
      <x:c r="E5" s="28" t="n">
        <x:v>210</x:v>
      </x:c>
      <x:c r="F5" t="str">
        <x:v>RLNG</x:v>
      </x:c>
      <x:c r="G5" t="str">
        <x:v>Sindh</x:v>
      </x:c>
      <x:c r="H5" t="str">
        <x:v>Karachi power complex</x:v>
      </x:c>
      <x:c r="I5" t="str">
        <x:v>Planned retirement</x:v>
      </x:c>
      <x:c r="J5" t="n">
        <x:v>89</x:v>
      </x:c>
      <x:c r="K5" t="str">
        <x:v>BQPS1-U5</x:v>
      </x:c>
      <x:c r="L5" t="str">
        <x:v>Name matched</x:v>
      </x:c>
    </x:row>
    <x:row r="6" ht="18" customHeight="1">
      <x:c r="A6" t="n">
        <x:v>3</x:v>
      </x:c>
      <x:c r="B6" t="str">
        <x:v>Kohinoor</x:v>
      </x:c>
      <x:c r="C6" t="str">
        <x:v>RFO</x:v>
      </x:c>
      <x:c r="D6" t="n">
        <x:v>2028</x:v>
      </x:c>
      <x:c r="E6" s="28" t="n">
        <x:v>131</x:v>
      </x:c>
      <x:c r="F6" t="str">
        <x:v>RFO</x:v>
      </x:c>
      <x:c r="G6" t="str">
        <x:v>Punjab</x:v>
      </x:c>
      <x:c r="H6"/>
      <x:c r="I6" t="str">
        <x:v>Planned retirement</x:v>
      </x:c>
      <x:c r="J6" t="n">
        <x:v>89</x:v>
      </x:c>
      <x:c r="K6" t="str">
        <x:v>Kohinoor</x:v>
      </x:c>
      <x:c r="L6" t="str">
        <x:v>Name matched</x:v>
      </x:c>
    </x:row>
    <x:row r="7" ht="18" customHeight="1">
      <x:c r="A7" t="n">
        <x:v>2</x:v>
      </x:c>
      <x:c r="B7" t="str">
        <x:v>Liberty</x:v>
      </x:c>
      <x:c r="C7" t="str">
        <x:v>Gas</x:v>
      </x:c>
      <x:c r="D7" t="n">
        <x:v>2028</x:v>
      </x:c>
      <x:c r="E7" s="28" t="n">
        <x:v>235</x:v>
      </x:c>
      <x:c r="F7" t="str">
        <x:v>Gas</x:v>
      </x:c>
      <x:c r="G7" t="str">
        <x:v>Sindh</x:v>
      </x:c>
      <x:c r="H7" t="str">
        <x:v>Ghotki–Daharki gas corridor</x:v>
      </x:c>
      <x:c r="I7" t="str">
        <x:v>Planned retirement</x:v>
      </x:c>
      <x:c r="J7" t="n">
        <x:v>89</x:v>
      </x:c>
      <x:c r="K7" t="str">
        <x:v>Liberty</x:v>
      </x:c>
      <x:c r="L7" t="str">
        <x:v>Name matched</x:v>
      </x:c>
    </x:row>
    <x:row r="8" ht="18" customHeight="1">
      <x:c r="A8" t="n">
        <x:v>1</x:v>
      </x:c>
      <x:c r="B8" t="str">
        <x:v>KAPCO*</x:v>
      </x:c>
      <x:c r="C8" t="str">
        <x:v>RLNG</x:v>
      </x:c>
      <x:c r="D8" t="n">
        <x:v>2029</x:v>
      </x:c>
      <x:c r="E8" s="28" t="n">
        <x:v>495</x:v>
      </x:c>
      <x:c r="F8" t="str">
        <x:v>RLNG</x:v>
      </x:c>
      <x:c r="G8" t="str">
        <x:v>Punjab</x:v>
      </x:c>
      <x:c r="H8" t="str">
        <x:v>Kot Addu</x:v>
      </x:c>
      <x:c r="I8" t="str">
        <x:v>Planned retirement</x:v>
      </x:c>
      <x:c r="J8" t="n">
        <x:v>89</x:v>
      </x:c>
      <x:c r="K8" t="str">
        <x:v>KAPCO</x:v>
      </x:c>
      <x:c r="L8" t="str">
        <x:v>Name matched</x:v>
      </x:c>
    </x:row>
    <x:row r="9" ht="18" customHeight="1">
      <x:c r="A9" t="n">
        <x:v>5</x:v>
      </x:c>
      <x:c r="B9" t="str">
        <x:v>Uch</x:v>
      </x:c>
      <x:c r="C9" t="str">
        <x:v>Gas</x:v>
      </x:c>
      <x:c r="D9" t="n">
        <x:v>2031</x:v>
      </x:c>
      <x:c r="E9" s="28" t="n">
        <x:v>586</x:v>
      </x:c>
      <x:c r="F9" t="str">
        <x:v>Gas</x:v>
      </x:c>
      <x:c r="G9" t="str">
        <x:v>Balochistan</x:v>
      </x:c>
      <x:c r="H9" t="str">
        <x:v>Uch–Dera Murad Jamali area</x:v>
      </x:c>
      <x:c r="I9" t="str">
        <x:v>Planned retirement</x:v>
      </x:c>
      <x:c r="J9" t="n">
        <x:v>89</x:v>
      </x:c>
      <x:c r="K9" t="str">
        <x:v>Uch</x:v>
      </x:c>
      <x:c r="L9" t="str">
        <x:v>Name matched</x:v>
      </x:c>
    </x:row>
    <x:row r="10" ht="18" customHeight="1">
      <x:c r="A10" t="n">
        <x:v>6</x:v>
      </x:c>
      <x:c r="B10" t="str">
        <x:v>Altern Energy Limited</x:v>
      </x:c>
      <x:c r="C10" t="str">
        <x:v>RLNG</x:v>
      </x:c>
      <x:c r="D10" t="n">
        <x:v>2032</x:v>
      </x:c>
      <x:c r="E10" s="28" t="n">
        <x:v>31</x:v>
      </x:c>
      <x:c r="F10" t="str">
        <x:v>RLNG</x:v>
      </x:c>
      <x:c r="G10" t="str">
        <x:v>Unspecified / distributed</x:v>
      </x:c>
      <x:c r="H10"/>
      <x:c r="I10" t="str">
        <x:v>Planned retirement</x:v>
      </x:c>
      <x:c r="J10" t="n">
        <x:v>89</x:v>
      </x:c>
      <x:c r="K10"/>
      <x:c r="L10" t="str">
        <x:v>Not in Nov-2024 B-1 named fleet</x:v>
      </x:c>
    </x:row>
    <x:row r="11" ht="18" customHeight="1">
      <x:c r="A11" t="n">
        <x:v>4</x:v>
      </x:c>
      <x:c r="B11" t="str">
        <x:v>FKPCL</x:v>
      </x:c>
      <x:c r="C11" t="str">
        <x:v>RLNG</x:v>
      </x:c>
      <x:c r="D11" t="n">
        <x:v>2032</x:v>
      </x:c>
      <x:c r="E11" s="28" t="n">
        <x:v>157</x:v>
      </x:c>
      <x:c r="F11" t="str">
        <x:v>RLNG</x:v>
      </x:c>
      <x:c r="G11" t="str">
        <x:v>Punjab</x:v>
      </x:c>
      <x:c r="H11" t="str">
        <x:v>Kabirwala–Khanewal</x:v>
      </x:c>
      <x:c r="I11" t="str">
        <x:v>Planned retirement</x:v>
      </x:c>
      <x:c r="J11" t="n">
        <x:v>89</x:v>
      </x:c>
      <x:c r="K11" t="str">
        <x:v>FKPCL</x:v>
      </x:c>
      <x:c r="L11" t="str">
        <x:v>Name matched</x:v>
      </x:c>
    </x:row>
    <x:row r="12" ht="18" customHeight="1">
      <x:c r="A12" t="n">
        <x:v>11</x:v>
      </x:c>
      <x:c r="B12" t="str">
        <x:v>BQPS1-U6</x:v>
      </x:c>
      <x:c r="C12" t="str">
        <x:v>RLNG</x:v>
      </x:c>
      <x:c r="D12" t="n">
        <x:v>2033</x:v>
      </x:c>
      <x:c r="E12" s="28" t="n">
        <x:v>210</x:v>
      </x:c>
      <x:c r="F12" t="str">
        <x:v>RLNG</x:v>
      </x:c>
      <x:c r="G12" t="str">
        <x:v>Sindh</x:v>
      </x:c>
      <x:c r="H12" t="str">
        <x:v>Karachi power complex</x:v>
      </x:c>
      <x:c r="I12" t="str">
        <x:v>Planned retirement</x:v>
      </x:c>
      <x:c r="J12" t="n">
        <x:v>89</x:v>
      </x:c>
      <x:c r="K12" t="str">
        <x:v>BQPS1-U6</x:v>
      </x:c>
      <x:c r="L12" t="str">
        <x:v>Name matched</x:v>
      </x:c>
    </x:row>
    <x:row r="13" ht="18" customHeight="1">
      <x:c r="A13" t="n">
        <x:v>7</x:v>
      </x:c>
      <x:c r="B13" t="str">
        <x:v>AGL</x:v>
      </x:c>
      <x:c r="C13" t="str">
        <x:v>RFO</x:v>
      </x:c>
      <x:c r="D13" t="n">
        <x:v>2034</x:v>
      </x:c>
      <x:c r="E13" s="28" t="n">
        <x:v>163</x:v>
      </x:c>
      <x:c r="F13" t="str">
        <x:v>RFO</x:v>
      </x:c>
      <x:c r="G13" t="str">
        <x:v>Punjab</x:v>
      </x:c>
      <x:c r="H13"/>
      <x:c r="I13" t="str">
        <x:v>Planned retirement</x:v>
      </x:c>
      <x:c r="J13" t="n">
        <x:v>89</x:v>
      </x:c>
      <x:c r="K13" t="str">
        <x:v>AGL</x:v>
      </x:c>
      <x:c r="L13" t="str">
        <x:v>Different installed MW in B-1; do not force reconciliation</x:v>
      </x:c>
    </x:row>
    <x:row r="14" ht="18" customHeight="1">
      <x:c r="A14" t="n">
        <x:v>9</x:v>
      </x:c>
      <x:c r="B14" t="str">
        <x:v>Engro Qadirpur</x:v>
      </x:c>
      <x:c r="C14" t="str">
        <x:v>Gas</x:v>
      </x:c>
      <x:c r="D14" t="n">
        <x:v>2035</x:v>
      </x:c>
      <x:c r="E14" s="28" t="n">
        <x:v>223</x:v>
      </x:c>
      <x:c r="F14" t="str">
        <x:v>Gas</x:v>
      </x:c>
      <x:c r="G14" t="str">
        <x:v>Sindh</x:v>
      </x:c>
      <x:c r="H14" t="str">
        <x:v>Ghotki–Daharki gas corridor</x:v>
      </x:c>
      <x:c r="I14" t="str">
        <x:v>Planned retirement</x:v>
      </x:c>
      <x:c r="J14" t="n">
        <x:v>89</x:v>
      </x:c>
      <x:c r="K14" t="str">
        <x:v>Engro</x:v>
      </x:c>
      <x:c r="L14" t="str">
        <x:v>Different installed MW in B-1; do not force reconciliation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ffdde3930834ad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3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0" customHeight="1">
      <x:c r="A1" s="4" t="str">
        <x:v>Annual Capacity Factors • Source Table 6-9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5" customHeight="1">
      <x:c r="A2" s="10" t="str">
        <x:v>212 named model entries, including unselected candidate options (zero CF). These ARE NOT all project additions.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6" customHeight="1">
      <x:c r="A3" s="16" t="str">
        <x:v>Table 6-9 row</x:v>
      </x:c>
      <x:c r="B3" s="16" t="str">
        <x:v>Published plant / group</x:v>
      </x:c>
      <x:c r="C3" s="16" t="str">
        <x:v>Published fuel classification</x:v>
      </x:c>
      <x:c r="D3" s="16" t="str">
        <x:v>Source PDF p.</x:v>
      </x:c>
      <x:c r="E3" s="16" t="str">
        <x:v>FY2027 CF (%)</x:v>
      </x:c>
      <x:c r="F3" s="16" t="str">
        <x:v>FY2028 CF (%)</x:v>
      </x:c>
      <x:c r="G3" s="16" t="str">
        <x:v>FY2029 CF (%)</x:v>
      </x:c>
      <x:c r="H3" s="16" t="str">
        <x:v>FY2030 CF (%)</x:v>
      </x:c>
      <x:c r="I3" s="16" t="str">
        <x:v>FY2031 CF (%)</x:v>
      </x:c>
      <x:c r="J3" s="16" t="str">
        <x:v>FY2032 CF (%)</x:v>
      </x:c>
      <x:c r="K3" s="16" t="str">
        <x:v>FY2033 CF (%)</x:v>
      </x:c>
      <x:c r="L3" s="16" t="str">
        <x:v>FY2034 CF (%)</x:v>
      </x:c>
      <x:c r="M3" s="16" t="str">
        <x:v>FY2035 CF (%)</x:v>
      </x:c>
    </x:row>
    <x:row r="4" ht="18" customHeight="1">
      <x:c r="A4" t="n">
        <x:v>1</x:v>
      </x:c>
      <x:c r="B4" t="str">
        <x:v>Almoiz</x:v>
      </x:c>
      <x:c r="C4" t="str">
        <x:v>Bagasse</x:v>
      </x:c>
      <x:c r="D4" t="n">
        <x:v>121</x:v>
      </x:c>
      <x:c r="E4" s="24" t="n">
        <x:v>26.17</x:v>
      </x:c>
      <x:c r="F4" s="24" t="n">
        <x:v>26.25</x:v>
      </x:c>
      <x:c r="G4" s="24" t="n">
        <x:v>26.17</x:v>
      </x:c>
      <x:c r="H4" s="24" t="n">
        <x:v>26.17</x:v>
      </x:c>
      <x:c r="I4" s="24" t="n">
        <x:v>26.17</x:v>
      </x:c>
      <x:c r="J4" s="24" t="n">
        <x:v>26.25</x:v>
      </x:c>
      <x:c r="K4" s="24" t="n">
        <x:v>26.17</x:v>
      </x:c>
      <x:c r="L4" s="24" t="n">
        <x:v>26.17</x:v>
      </x:c>
      <x:c r="M4" s="24" t="n">
        <x:v>26.17</x:v>
      </x:c>
    </x:row>
    <x:row r="5" ht="18" customHeight="1">
      <x:c r="A5" t="n">
        <x:v>2</x:v>
      </x:c>
      <x:c r="B5" t="str">
        <x:v>Chanar</x:v>
      </x:c>
      <x:c r="C5" t="str">
        <x:v>Bagasse</x:v>
      </x:c>
      <x:c r="D5" t="n">
        <x:v>121</x:v>
      </x:c>
      <x:c r="E5" s="24" t="n">
        <x:v>35.97</x:v>
      </x:c>
      <x:c r="F5" s="24" t="n">
        <x:v>36.09</x:v>
      </x:c>
      <x:c r="G5" s="24" t="n">
        <x:v>35.97</x:v>
      </x:c>
      <x:c r="H5" s="24" t="n">
        <x:v>35.97</x:v>
      </x:c>
      <x:c r="I5" s="24" t="n">
        <x:v>35.97</x:v>
      </x:c>
      <x:c r="J5" s="24" t="n">
        <x:v>36.09</x:v>
      </x:c>
      <x:c r="K5" s="24" t="n">
        <x:v>35.97</x:v>
      </x:c>
      <x:c r="L5" s="24" t="n">
        <x:v>35.97</x:v>
      </x:c>
      <x:c r="M5" s="24" t="n">
        <x:v>35.97</x:v>
      </x:c>
    </x:row>
    <x:row r="6" ht="18" customHeight="1">
      <x:c r="A6" t="n">
        <x:v>3</x:v>
      </x:c>
      <x:c r="B6" t="str">
        <x:v>Chiniot</x:v>
      </x:c>
      <x:c r="C6" t="str">
        <x:v>Bagasse</x:v>
      </x:c>
      <x:c r="D6" t="n">
        <x:v>121</x:v>
      </x:c>
      <x:c r="E6" s="24" t="n">
        <x:v>41.44</x:v>
      </x:c>
      <x:c r="F6" s="24" t="n">
        <x:v>41.58</x:v>
      </x:c>
      <x:c r="G6" s="24" t="n">
        <x:v>41.44</x:v>
      </x:c>
      <x:c r="H6" s="24" t="n">
        <x:v>41.44</x:v>
      </x:c>
      <x:c r="I6" s="24" t="n">
        <x:v>41.44</x:v>
      </x:c>
      <x:c r="J6" s="24" t="n">
        <x:v>41.58</x:v>
      </x:c>
      <x:c r="K6" s="24" t="n">
        <x:v>41.44</x:v>
      </x:c>
      <x:c r="L6" s="24" t="n">
        <x:v>41.44</x:v>
      </x:c>
      <x:c r="M6" s="24" t="n">
        <x:v>41.44</x:v>
      </x:c>
    </x:row>
    <x:row r="7" ht="18" customHeight="1">
      <x:c r="A7" t="n">
        <x:v>4</x:v>
      </x:c>
      <x:c r="B7" t="str">
        <x:v>Fatima</x:v>
      </x:c>
      <x:c r="C7" t="str">
        <x:v>Bagasse</x:v>
      </x:c>
      <x:c r="D7" t="n">
        <x:v>121</x:v>
      </x:c>
      <x:c r="E7" s="24" t="n">
        <x:v>5.81</x:v>
      </x:c>
      <x:c r="F7" s="24" t="n">
        <x:v>0</x:v>
      </x:c>
      <x:c r="G7" s="24" t="n">
        <x:v>0</x:v>
      </x:c>
      <x:c r="H7" s="24" t="n">
        <x:v>0.03</x:v>
      </x:c>
      <x:c r="I7" s="24" t="n">
        <x:v>0.1</x:v>
      </x:c>
      <x:c r="J7" s="24" t="n">
        <x:v>0.1</x:v>
      </x:c>
      <x:c r="K7" s="24" t="n">
        <x:v>1.16</x:v>
      </x:c>
      <x:c r="L7" s="24" t="n">
        <x:v>1.19</x:v>
      </x:c>
      <x:c r="M7" s="24" t="n">
        <x:v>0.15</x:v>
      </x:c>
    </x:row>
    <x:row r="8" ht="18" customHeight="1">
      <x:c r="A8" t="n">
        <x:v>5</x:v>
      </x:c>
      <x:c r="B8" t="str">
        <x:v>Hamza</x:v>
      </x:c>
      <x:c r="C8" t="str">
        <x:v>Bagasse</x:v>
      </x:c>
      <x:c r="D8" t="n">
        <x:v>121</x:v>
      </x:c>
      <x:c r="E8" s="24" t="n">
        <x:v>41.63</x:v>
      </x:c>
      <x:c r="F8" s="24" t="n">
        <x:v>41.77</x:v>
      </x:c>
      <x:c r="G8" s="24" t="n">
        <x:v>41.63</x:v>
      </x:c>
      <x:c r="H8" s="24" t="n">
        <x:v>41.63</x:v>
      </x:c>
      <x:c r="I8" s="24" t="n">
        <x:v>41.63</x:v>
      </x:c>
      <x:c r="J8" s="24" t="n">
        <x:v>41.77</x:v>
      </x:c>
      <x:c r="K8" s="24" t="n">
        <x:v>41.63</x:v>
      </x:c>
      <x:c r="L8" s="24" t="n">
        <x:v>41.63</x:v>
      </x:c>
      <x:c r="M8" s="24" t="n">
        <x:v>41.63</x:v>
      </x:c>
    </x:row>
    <x:row r="9" ht="18" customHeight="1">
      <x:c r="A9" t="n">
        <x:v>6</x:v>
      </x:c>
      <x:c r="B9" t="str">
        <x:v>JDW-II</x:v>
      </x:c>
      <x:c r="C9" t="str">
        <x:v>Bagasse</x:v>
      </x:c>
      <x:c r="D9" t="n">
        <x:v>121</x:v>
      </x:c>
      <x:c r="E9" s="24" t="n">
        <x:v>42.19</x:v>
      </x:c>
      <x:c r="F9" s="24" t="n">
        <x:v>42.33</x:v>
      </x:c>
      <x:c r="G9" s="24" t="n">
        <x:v>42.19</x:v>
      </x:c>
      <x:c r="H9" s="24" t="n">
        <x:v>42.19</x:v>
      </x:c>
      <x:c r="I9" s="24" t="n">
        <x:v>42.19</x:v>
      </x:c>
      <x:c r="J9" s="24" t="n">
        <x:v>42.33</x:v>
      </x:c>
      <x:c r="K9" s="24" t="n">
        <x:v>42.19</x:v>
      </x:c>
      <x:c r="L9" s="24" t="n">
        <x:v>42.19</x:v>
      </x:c>
      <x:c r="M9" s="24" t="n">
        <x:v>42.19</x:v>
      </x:c>
    </x:row>
    <x:row r="10" ht="18" customHeight="1">
      <x:c r="A10" t="n">
        <x:v>7</x:v>
      </x:c>
      <x:c r="B10" t="str">
        <x:v>JDW-III</x:v>
      </x:c>
      <x:c r="C10" t="str">
        <x:v>Bagasse</x:v>
      </x:c>
      <x:c r="D10" t="n">
        <x:v>121</x:v>
      </x:c>
      <x:c r="E10" s="24" t="n">
        <x:v>42.26</x:v>
      </x:c>
      <x:c r="F10" s="24" t="n">
        <x:v>42.4</x:v>
      </x:c>
      <x:c r="G10" s="24" t="n">
        <x:v>42.26</x:v>
      </x:c>
      <x:c r="H10" s="24" t="n">
        <x:v>42.26</x:v>
      </x:c>
      <x:c r="I10" s="24" t="n">
        <x:v>42.26</x:v>
      </x:c>
      <x:c r="J10" s="24" t="n">
        <x:v>42.4</x:v>
      </x:c>
      <x:c r="K10" s="24" t="n">
        <x:v>42.26</x:v>
      </x:c>
      <x:c r="L10" s="24" t="n">
        <x:v>42.26</x:v>
      </x:c>
      <x:c r="M10" s="24" t="n">
        <x:v>42.26</x:v>
      </x:c>
    </x:row>
    <x:row r="11" ht="18" customHeight="1">
      <x:c r="A11" t="n">
        <x:v>8</x:v>
      </x:c>
      <x:c r="B11" t="str">
        <x:v>New_Bagasse</x:v>
      </x:c>
      <x:c r="C11" t="str">
        <x:v>Bagasse</x:v>
      </x:c>
      <x:c r="D11" t="n">
        <x:v>121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v>0</x:v>
      </x:c>
      <x:c r="J11" s="24" t="n">
        <x:v>0</x:v>
      </x:c>
      <x:c r="K11" s="24" t="n">
        <x:v>0</x:v>
      </x:c>
      <x:c r="L11" s="24" t="n">
        <x:v>0</x:v>
      </x:c>
      <x:c r="M11" s="24" t="n">
        <x:v>0</x:v>
      </x:c>
    </x:row>
    <x:row r="12" ht="18" customHeight="1">
      <x:c r="A12" t="n">
        <x:v>9</x:v>
      </x:c>
      <x:c r="B12" t="str">
        <x:v>Ryk_Mills</x:v>
      </x:c>
      <x:c r="C12" t="str">
        <x:v>Bagasse</x:v>
      </x:c>
      <x:c r="D12" t="n">
        <x:v>121</x:v>
      </x:c>
      <x:c r="E12" s="24" t="n">
        <x:v>31.52</x:v>
      </x:c>
      <x:c r="F12" s="24" t="n">
        <x:v>31.62</x:v>
      </x:c>
      <x:c r="G12" s="24" t="n">
        <x:v>31.52</x:v>
      </x:c>
      <x:c r="H12" s="24" t="n">
        <x:v>31.52</x:v>
      </x:c>
      <x:c r="I12" s="24" t="n">
        <x:v>31.52</x:v>
      </x:c>
      <x:c r="J12" s="24" t="n">
        <x:v>31.62</x:v>
      </x:c>
      <x:c r="K12" s="24" t="n">
        <x:v>31.52</x:v>
      </x:c>
      <x:c r="L12" s="24" t="n">
        <x:v>31.52</x:v>
      </x:c>
      <x:c r="M12" s="24" t="n">
        <x:v>31.52</x:v>
      </x:c>
    </x:row>
    <x:row r="13" ht="18" customHeight="1">
      <x:c r="A13" t="n">
        <x:v>10</x:v>
      </x:c>
      <x:c r="B13" t="str">
        <x:v>Shahtaj</x:v>
      </x:c>
      <x:c r="C13" t="str">
        <x:v>Bagasse</x:v>
      </x:c>
      <x:c r="D13" t="n">
        <x:v>121</x:v>
      </x:c>
      <x:c r="E13" s="24" t="n">
        <x:v>32.64</x:v>
      </x:c>
      <x:c r="F13" s="24" t="n">
        <x:v>32.75</x:v>
      </x:c>
      <x:c r="G13" s="24" t="n">
        <x:v>32.64</x:v>
      </x:c>
      <x:c r="H13" s="24" t="n">
        <x:v>32.64</x:v>
      </x:c>
      <x:c r="I13" s="24" t="n">
        <x:v>32.64</x:v>
      </x:c>
      <x:c r="J13" s="24" t="n">
        <x:v>32.75</x:v>
      </x:c>
      <x:c r="K13" s="24" t="n">
        <x:v>32.64</x:v>
      </x:c>
      <x:c r="L13" s="24" t="n">
        <x:v>32.64</x:v>
      </x:c>
      <x:c r="M13" s="24" t="n">
        <x:v>32.64</x:v>
      </x:c>
    </x:row>
    <x:row r="14" ht="18" customHeight="1">
      <x:c r="A14" t="n">
        <x:v>11</x:v>
      </x:c>
      <x:c r="B14" t="str">
        <x:v>Thal_Layyah</x:v>
      </x:c>
      <x:c r="C14" t="str">
        <x:v>Bagasse</x:v>
      </x:c>
      <x:c r="D14" t="n">
        <x:v>121</x:v>
      </x:c>
      <x:c r="E14" s="24" t="n">
        <x:v>40.89</x:v>
      </x:c>
      <x:c r="F14" s="24" t="n">
        <x:v>41.02</x:v>
      </x:c>
      <x:c r="G14" s="24" t="n">
        <x:v>40.89</x:v>
      </x:c>
      <x:c r="H14" s="24" t="n">
        <x:v>40.89</x:v>
      </x:c>
      <x:c r="I14" s="24" t="n">
        <x:v>40.89</x:v>
      </x:c>
      <x:c r="J14" s="24" t="n">
        <x:v>41.02</x:v>
      </x:c>
      <x:c r="K14" s="24" t="n">
        <x:v>40.89</x:v>
      </x:c>
      <x:c r="L14" s="24" t="n">
        <x:v>40.89</x:v>
      </x:c>
      <x:c r="M14" s="24" t="n">
        <x:v>40.89</x:v>
      </x:c>
    </x:row>
    <x:row r="15" ht="18" customHeight="1">
      <x:c r="A15" t="n">
        <x:v>12</x:v>
      </x:c>
      <x:c r="B15" t="str">
        <x:v>Appolo</x:v>
      </x:c>
      <x:c r="C15" t="str">
        <x:v>PV</x:v>
      </x:c>
      <x:c r="D15" t="n">
        <x:v>121</x:v>
      </x:c>
      <x:c r="E15" s="24" t="n">
        <x:v>18.73</x:v>
      </x:c>
      <x:c r="F15" s="24" t="n">
        <x:v>18.69</x:v>
      </x:c>
      <x:c r="G15" s="24" t="n">
        <x:v>18.68</x:v>
      </x:c>
      <x:c r="H15" s="24" t="n">
        <x:v>18.68</x:v>
      </x:c>
      <x:c r="I15" s="24" t="n">
        <x:v>18.15</x:v>
      </x:c>
      <x:c r="J15" s="24" t="n">
        <x:v>18.44</x:v>
      </x:c>
      <x:c r="K15" s="24" t="n">
        <x:v>18.42</x:v>
      </x:c>
      <x:c r="L15" s="24" t="n">
        <x:v>18.42</x:v>
      </x:c>
      <x:c r="M15" s="24" t="n">
        <x:v>18.45</x:v>
      </x:c>
    </x:row>
    <x:row r="16" ht="18" customHeight="1">
      <x:c r="A16" t="n">
        <x:v>13</x:v>
      </x:c>
      <x:c r="B16" t="str">
        <x:v>Atlas_Solar (Zhenfa)</x:v>
      </x:c>
      <x:c r="C16" t="str">
        <x:v>PV</x:v>
      </x:c>
      <x:c r="D16" t="n">
        <x:v>121</x:v>
      </x:c>
      <x:c r="E16" s="24" t="n">
        <x:v>18.36</x:v>
      </x:c>
      <x:c r="F16" s="24" t="n">
        <x:v>18.19</x:v>
      </x:c>
      <x:c r="G16" s="24" t="n">
        <x:v>18.35</x:v>
      </x:c>
      <x:c r="H16" s="24" t="n">
        <x:v>18.36</x:v>
      </x:c>
      <x:c r="I16" s="24" t="n">
        <x:v>17.8</x:v>
      </x:c>
      <x:c r="J16" s="24" t="n">
        <x:v>18.08</x:v>
      </x:c>
      <x:c r="K16" s="24" t="n">
        <x:v>17.98</x:v>
      </x:c>
      <x:c r="L16" s="24" t="n">
        <x:v>17.98</x:v>
      </x:c>
      <x:c r="M16" s="24" t="n">
        <x:v>18.18</x:v>
      </x:c>
    </x:row>
    <x:row r="17" ht="18" customHeight="1">
      <x:c r="A17" t="n">
        <x:v>14</x:v>
      </x:c>
      <x:c r="B17" t="str">
        <x:v>Best</x:v>
      </x:c>
      <x:c r="C17" t="str">
        <x:v>PV</x:v>
      </x:c>
      <x:c r="D17" t="n">
        <x:v>121</x:v>
      </x:c>
      <x:c r="E17" s="24" t="n">
        <x:v>18.57</x:v>
      </x:c>
      <x:c r="F17" s="24" t="n">
        <x:v>18.53</x:v>
      </x:c>
      <x:c r="G17" s="24" t="n">
        <x:v>18.57</x:v>
      </x:c>
      <x:c r="H17" s="24" t="n">
        <x:v>18.53</x:v>
      </x:c>
      <x:c r="I17" s="24" t="n">
        <x:v>18.26</x:v>
      </x:c>
      <x:c r="J17" s="24" t="n">
        <x:v>18.26</x:v>
      </x:c>
      <x:c r="K17" s="24" t="n">
        <x:v>17.99</x:v>
      </x:c>
      <x:c r="L17" s="24" t="n">
        <x:v>17.99</x:v>
      </x:c>
      <x:c r="M17" s="24" t="n">
        <x:v>18.43</x:v>
      </x:c>
    </x:row>
    <x:row r="18" ht="18" customHeight="1">
      <x:c r="A18" t="n">
        <x:v>15</x:v>
      </x:c>
      <x:c r="B18" t="str">
        <x:v>Crest</x:v>
      </x:c>
      <x:c r="C18" t="str">
        <x:v>PV</x:v>
      </x:c>
      <x:c r="D18" t="n">
        <x:v>121</x:v>
      </x:c>
      <x:c r="E18" s="24" t="n">
        <x:v>18.82</x:v>
      </x:c>
      <x:c r="F18" s="24" t="n">
        <x:v>18.78</x:v>
      </x:c>
      <x:c r="G18" s="24" t="n">
        <x:v>18.77</x:v>
      </x:c>
      <x:c r="H18" s="24" t="n">
        <x:v>18.77</x:v>
      </x:c>
      <x:c r="I18" s="24" t="n">
        <x:v>18.51</x:v>
      </x:c>
      <x:c r="J18" s="24" t="n">
        <x:v>18.26</x:v>
      </x:c>
      <x:c r="K18" s="24" t="n">
        <x:v>18.25</x:v>
      </x:c>
      <x:c r="L18" s="24" t="n">
        <x:v>18.25</x:v>
      </x:c>
      <x:c r="M18" s="24" t="n">
        <x:v>18.56</x:v>
      </x:c>
    </x:row>
    <x:row r="19" ht="18" customHeight="1">
      <x:c r="A19" t="n">
        <x:v>16</x:v>
      </x:c>
      <x:c r="B19" t="str">
        <x:v>Helios</x:v>
      </x:c>
      <x:c r="C19" t="str">
        <x:v>PV</x:v>
      </x:c>
      <x:c r="D19" t="n">
        <x:v>121</x:v>
      </x:c>
      <x:c r="E19" s="24" t="n">
        <x:v>22.03</x:v>
      </x:c>
      <x:c r="F19" s="24" t="n">
        <x:v>22</x:v>
      </x:c>
      <x:c r="G19" s="24" t="n">
        <x:v>22.03</x:v>
      </x:c>
      <x:c r="H19" s="24" t="n">
        <x:v>22.03</x:v>
      </x:c>
      <x:c r="I19" s="24" t="n">
        <x:v>22.03</x:v>
      </x:c>
      <x:c r="J19" s="24" t="n">
        <x:v>22</x:v>
      </x:c>
      <x:c r="K19" s="24" t="n">
        <x:v>22.03</x:v>
      </x:c>
      <x:c r="L19" s="24" t="n">
        <x:v>22.03</x:v>
      </x:c>
      <x:c r="M19" s="24" t="n">
        <x:v>22.03</x:v>
      </x:c>
    </x:row>
    <x:row r="20" ht="18" customHeight="1">
      <x:c r="A20" t="n">
        <x:v>17</x:v>
      </x:c>
      <x:c r="B20" t="str">
        <x:v>HNDS</x:v>
      </x:c>
      <x:c r="C20" t="str">
        <x:v>PV</x:v>
      </x:c>
      <x:c r="D20" t="n">
        <x:v>121</x:v>
      </x:c>
      <x:c r="E20" s="24" t="n">
        <x:v>22.03</x:v>
      </x:c>
      <x:c r="F20" s="24" t="n">
        <x:v>22</x:v>
      </x:c>
      <x:c r="G20" s="24" t="n">
        <x:v>22.03</x:v>
      </x:c>
      <x:c r="H20" s="24" t="n">
        <x:v>22.03</x:v>
      </x:c>
      <x:c r="I20" s="24" t="n">
        <x:v>22.03</x:v>
      </x:c>
      <x:c r="J20" s="24" t="n">
        <x:v>22</x:v>
      </x:c>
      <x:c r="K20" s="24" t="n">
        <x:v>22.03</x:v>
      </x:c>
      <x:c r="L20" s="24" t="n">
        <x:v>22.03</x:v>
      </x:c>
      <x:c r="M20" s="24" t="n">
        <x:v>22.03</x:v>
      </x:c>
    </x:row>
    <x:row r="21" ht="18" customHeight="1">
      <x:c r="A21" t="n">
        <x:v>18</x:v>
      </x:c>
      <x:c r="B21" t="str">
        <x:v>Meridian</x:v>
      </x:c>
      <x:c r="C21" t="str">
        <x:v>PV</x:v>
      </x:c>
      <x:c r="D21" t="n">
        <x:v>121</x:v>
      </x:c>
      <x:c r="E21" s="24" t="n">
        <x:v>22.03</x:v>
      </x:c>
      <x:c r="F21" s="24" t="n">
        <x:v>22</x:v>
      </x:c>
      <x:c r="G21" s="24" t="n">
        <x:v>22.03</x:v>
      </x:c>
      <x:c r="H21" s="24" t="n">
        <x:v>22.03</x:v>
      </x:c>
      <x:c r="I21" s="24" t="n">
        <x:v>22.03</x:v>
      </x:c>
      <x:c r="J21" s="24" t="n">
        <x:v>22</x:v>
      </x:c>
      <x:c r="K21" s="24" t="n">
        <x:v>22.03</x:v>
      </x:c>
      <x:c r="L21" s="24" t="n">
        <x:v>22.03</x:v>
      </x:c>
      <x:c r="M21" s="24" t="n">
        <x:v>22.03</x:v>
      </x:c>
    </x:row>
    <x:row r="22" ht="18" customHeight="1">
      <x:c r="A22" t="n">
        <x:v>19</x:v>
      </x:c>
      <x:c r="B22" t="str">
        <x:v>Net_Meter_ 8000</x:v>
      </x:c>
      <x:c r="C22" t="str">
        <x:v>PV</x:v>
      </x:c>
      <x:c r="D22" t="n">
        <x:v>121</x:v>
      </x:c>
      <x:c r="E22" s="24" t="n">
        <x:v>16.71</x:v>
      </x:c>
      <x:c r="F22" s="24" t="n">
        <x:v>16.7</x:v>
      </x:c>
      <x:c r="G22" s="24" t="n">
        <x:v>16.71</x:v>
      </x:c>
      <x:c r="H22" s="24" t="n">
        <x:v>16.71</x:v>
      </x:c>
      <x:c r="I22" s="24" t="n">
        <x:v>16.7</x:v>
      </x:c>
      <x:c r="J22" s="24" t="n">
        <x:v>16.71</x:v>
      </x:c>
      <x:c r="K22" s="24" t="n">
        <x:v>16.69</x:v>
      </x:c>
      <x:c r="L22" s="24" t="n">
        <x:v>16.7</x:v>
      </x:c>
      <x:c r="M22" s="24" t="n">
        <x:v>16.71</x:v>
      </x:c>
    </x:row>
    <x:row r="23" ht="18" customHeight="1">
      <x:c r="A23" t="n">
        <x:v>20</x:v>
      </x:c>
      <x:c r="B23" t="str">
        <x:v>New_Solar_ North/Center</x:v>
      </x:c>
      <x:c r="C23" t="str">
        <x:v>PV</x:v>
      </x:c>
      <x:c r="D23" t="n">
        <x:v>121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v>0</x:v>
      </x:c>
      <x:c r="J23" s="24" t="n">
        <x:v>0</x:v>
      </x:c>
      <x:c r="K23" s="24" t="n">
        <x:v>0</x:v>
      </x:c>
      <x:c r="L23" s="24" t="n">
        <x:v>0</x:v>
      </x:c>
      <x:c r="M23" s="24" t="n">
        <x:v>0</x:v>
      </x:c>
    </x:row>
    <x:row r="24" ht="18" customHeight="1">
      <x:c r="A24" t="n">
        <x:v>21</x:v>
      </x:c>
      <x:c r="B24" t="str">
        <x:v>New_Solar_ South</x:v>
      </x:c>
      <x:c r="C24" t="str">
        <x:v>PV</x:v>
      </x:c>
      <x:c r="D24" t="n">
        <x:v>121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v>0</x:v>
      </x:c>
      <x:c r="J24" s="24" t="n">
        <x:v>0</x:v>
      </x:c>
      <x:c r="K24" s="24" t="n">
        <x:v>0</x:v>
      </x:c>
      <x:c r="L24" s="24" t="n">
        <x:v>0</x:v>
      </x:c>
      <x:c r="M24" s="24" t="n">
        <x:v>0</x:v>
      </x:c>
    </x:row>
    <x:row r="25" ht="18" customHeight="1">
      <x:c r="A25" t="n">
        <x:v>22</x:v>
      </x:c>
      <x:c r="B25" t="str">
        <x:v>PV_Market</x:v>
      </x:c>
      <x:c r="C25" t="str">
        <x:v>PV</x:v>
      </x:c>
      <x:c r="D25" t="n">
        <x:v>121</x:v>
      </x:c>
      <x:c r="E25" s="24" t="n">
        <x:v>21.01</x:v>
      </x:c>
      <x:c r="F25" s="24" t="n">
        <x:v>20.98</x:v>
      </x:c>
      <x:c r="G25" s="24" t="n">
        <x:v>21.01</x:v>
      </x:c>
      <x:c r="H25" s="24" t="n">
        <x:v>21.01</x:v>
      </x:c>
      <x:c r="I25" s="24" t="n">
        <x:v>21.01</x:v>
      </x:c>
      <x:c r="J25" s="24" t="n">
        <x:v>20.98</x:v>
      </x:c>
      <x:c r="K25" s="24" t="n">
        <x:v>21.01</x:v>
      </x:c>
      <x:c r="L25" s="24" t="n">
        <x:v>21.01</x:v>
      </x:c>
      <x:c r="M25" s="24" t="n">
        <x:v>21.01</x:v>
      </x:c>
    </x:row>
    <x:row r="26" ht="18" customHeight="1">
      <x:c r="A26" t="n">
        <x:v>23</x:v>
      </x:c>
      <x:c r="B26" t="str">
        <x:v>QA_Solar</x:v>
      </x:c>
      <x:c r="C26" t="str">
        <x:v>PV</x:v>
      </x:c>
      <x:c r="D26" t="n">
        <x:v>121</x:v>
      </x:c>
      <x:c r="E26" s="24" t="n">
        <x:v>17.22</x:v>
      </x:c>
      <x:c r="F26" s="24" t="n">
        <x:v>17.18</x:v>
      </x:c>
      <x:c r="G26" s="24" t="n">
        <x:v>17.22</x:v>
      </x:c>
      <x:c r="H26" s="24" t="n">
        <x:v>17.18</x:v>
      </x:c>
      <x:c r="I26" s="24" t="n">
        <x:v>16.68</x:v>
      </x:c>
      <x:c r="J26" s="24" t="n">
        <x:v>16.93</x:v>
      </x:c>
      <x:c r="K26" s="24" t="n">
        <x:v>16.68</x:v>
      </x:c>
      <x:c r="L26" s="24" t="n">
        <x:v>16.92</x:v>
      </x:c>
      <x:c r="M26" s="24" t="n">
        <x:v>17.22</x:v>
      </x:c>
    </x:row>
    <x:row r="27" ht="18" customHeight="1">
      <x:c r="A27" t="n">
        <x:v>24</x:v>
      </x:c>
      <x:c r="B27" t="str">
        <x:v>Gharo</x:v>
      </x:c>
      <x:c r="C27" t="str">
        <x:v>KE_PV</x:v>
      </x:c>
      <x:c r="D27" t="n">
        <x:v>121</x:v>
      </x:c>
      <x:c r="E27" s="24" t="n">
        <x:v>22.03</x:v>
      </x:c>
      <x:c r="F27" s="24" t="n">
        <x:v>21.82</x:v>
      </x:c>
      <x:c r="G27" s="24" t="n">
        <x:v>22.03</x:v>
      </x:c>
      <x:c r="H27" s="24" t="n">
        <x:v>22.03</x:v>
      </x:c>
      <x:c r="I27" s="24" t="n">
        <x:v>21.35</x:v>
      </x:c>
      <x:c r="J27" s="24" t="n">
        <x:v>21.5</x:v>
      </x:c>
      <x:c r="K27" s="24" t="n">
        <x:v>21.35</x:v>
      </x:c>
      <x:c r="L27" s="24" t="n">
        <x:v>21.35</x:v>
      </x:c>
      <x:c r="M27" s="24" t="n">
        <x:v>22.03</x:v>
      </x:c>
    </x:row>
    <x:row r="28" ht="18" customHeight="1">
      <x:c r="A28" t="n">
        <x:v>25</x:v>
      </x:c>
      <x:c r="B28" t="str">
        <x:v>KE_New_Solar</x:v>
      </x:c>
      <x:c r="C28" t="str">
        <x:v>KE_PV</x:v>
      </x:c>
      <x:c r="D28" t="n">
        <x:v>121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v>0</x:v>
      </x:c>
      <x:c r="J28" s="24" t="n">
        <x:v>0</x:v>
      </x:c>
      <x:c r="K28" s="24" t="n">
        <x:v>0</x:v>
      </x:c>
      <x:c r="L28" s="24" t="n">
        <x:v>0</x:v>
      </x:c>
      <x:c r="M28" s="24" t="n">
        <x:v>0</x:v>
      </x:c>
    </x:row>
    <x:row r="29" ht="18" customHeight="1">
      <x:c r="A29" t="n">
        <x:v>26</x:v>
      </x:c>
      <x:c r="B29" t="str">
        <x:v>Oursun</x:v>
      </x:c>
      <x:c r="C29" t="str">
        <x:v>KE_PV</x:v>
      </x:c>
      <x:c r="D29" t="n">
        <x:v>121</x:v>
      </x:c>
      <x:c r="E29" s="24" t="n">
        <x:v>20.96</x:v>
      </x:c>
      <x:c r="F29" s="24" t="n">
        <x:v>20.91</x:v>
      </x:c>
      <x:c r="G29" s="24" t="n">
        <x:v>20.96</x:v>
      </x:c>
      <x:c r="H29" s="24" t="n">
        <x:v>20.96</x:v>
      </x:c>
      <x:c r="I29" s="24" t="n">
        <x:v>20.5</x:v>
      </x:c>
      <x:c r="J29" s="24" t="n">
        <x:v>20.57</x:v>
      </x:c>
      <x:c r="K29" s="24" t="n">
        <x:v>20.5</x:v>
      </x:c>
      <x:c r="L29" s="24" t="n">
        <x:v>20.5</x:v>
      </x:c>
      <x:c r="M29" s="24" t="n">
        <x:v>20.96</x:v>
      </x:c>
    </x:row>
    <x:row r="30" ht="18" customHeight="1">
      <x:c r="A30" t="n">
        <x:v>27</x:v>
      </x:c>
      <x:c r="B30" t="str">
        <x:v>Act</x:v>
      </x:c>
      <x:c r="C30" t="str">
        <x:v>Wind</x:v>
      </x:c>
      <x:c r="D30" t="n">
        <x:v>121</x:v>
      </x:c>
      <x:c r="E30" s="24" t="n">
        <x:v>30.99</x:v>
      </x:c>
      <x:c r="F30" s="24" t="n">
        <x:v>30.95</x:v>
      </x:c>
      <x:c r="G30" s="24" t="n">
        <x:v>30.99</x:v>
      </x:c>
      <x:c r="H30" s="24" t="n">
        <x:v>30.99</x:v>
      </x:c>
      <x:c r="I30" s="24" t="n">
        <x:v>30.99</x:v>
      </x:c>
      <x:c r="J30" s="24" t="n">
        <x:v>30.95</x:v>
      </x:c>
      <x:c r="K30" s="24" t="n">
        <x:v>30.99</x:v>
      </x:c>
      <x:c r="L30" s="24" t="n">
        <x:v>30.99</x:v>
      </x:c>
      <x:c r="M30" s="24" t="n">
        <x:v>30.99</x:v>
      </x:c>
    </x:row>
    <x:row r="31" ht="18" customHeight="1">
      <x:c r="A31" t="n">
        <x:v>28</x:v>
      </x:c>
      <x:c r="B31" t="str">
        <x:v>Act_2</x:v>
      </x:c>
      <x:c r="C31" t="str">
        <x:v>Wind</x:v>
      </x:c>
      <x:c r="D31" t="n">
        <x:v>121</x:v>
      </x:c>
      <x:c r="E31" s="24" t="n">
        <x:v>37.94</x:v>
      </x:c>
      <x:c r="F31" s="24" t="n">
        <x:v>37.89</x:v>
      </x:c>
      <x:c r="G31" s="24" t="n">
        <x:v>37.94</x:v>
      </x:c>
      <x:c r="H31" s="24" t="n">
        <x:v>37.94</x:v>
      </x:c>
      <x:c r="I31" s="24" t="n">
        <x:v>37.94</x:v>
      </x:c>
      <x:c r="J31" s="24" t="n">
        <x:v>37.89</x:v>
      </x:c>
      <x:c r="K31" s="24" t="n">
        <x:v>37.94</x:v>
      </x:c>
      <x:c r="L31" s="24" t="n">
        <x:v>37.94</x:v>
      </x:c>
      <x:c r="M31" s="24" t="n">
        <x:v>37.94</x:v>
      </x:c>
    </x:row>
    <x:row r="32" ht="18" customHeight="1">
      <x:c r="A32" t="n">
        <x:v>29</x:v>
      </x:c>
      <x:c r="B32" t="str">
        <x:v>Artistic_wind</x:v>
      </x:c>
      <x:c r="C32" t="str">
        <x:v>Wind</x:v>
      </x:c>
      <x:c r="D32" t="n">
        <x:v>121</x:v>
      </x:c>
      <x:c r="E32" s="24" t="n">
        <x:v>34.86</x:v>
      </x:c>
      <x:c r="F32" s="24" t="n">
        <x:v>34.82</x:v>
      </x:c>
      <x:c r="G32" s="24" t="n">
        <x:v>34.86</x:v>
      </x:c>
      <x:c r="H32" s="24" t="n">
        <x:v>34.86</x:v>
      </x:c>
      <x:c r="I32" s="24" t="n">
        <x:v>34.86</x:v>
      </x:c>
      <x:c r="J32" s="24" t="n">
        <x:v>34.82</x:v>
      </x:c>
      <x:c r="K32" s="24" t="n">
        <x:v>34.86</x:v>
      </x:c>
      <x:c r="L32" s="24" t="n">
        <x:v>34.86</x:v>
      </x:c>
      <x:c r="M32" s="24" t="n">
        <x:v>34.86</x:v>
      </x:c>
    </x:row>
    <x:row r="33" ht="18" customHeight="1">
      <x:c r="A33" t="n">
        <x:v>30</x:v>
      </x:c>
      <x:c r="B33" t="str">
        <x:v>Artistic_Wind_2</x:v>
      </x:c>
      <x:c r="C33" t="str">
        <x:v>Wind</x:v>
      </x:c>
      <x:c r="D33" t="n">
        <x:v>121</x:v>
      </x:c>
      <x:c r="E33" s="24" t="n">
        <x:v>37.94</x:v>
      </x:c>
      <x:c r="F33" s="24" t="n">
        <x:v>37.89</x:v>
      </x:c>
      <x:c r="G33" s="24" t="n">
        <x:v>37.94</x:v>
      </x:c>
      <x:c r="H33" s="24" t="n">
        <x:v>37.94</x:v>
      </x:c>
      <x:c r="I33" s="24" t="n">
        <x:v>37.94</x:v>
      </x:c>
      <x:c r="J33" s="24" t="n">
        <x:v>37.89</x:v>
      </x:c>
      <x:c r="K33" s="24" t="n">
        <x:v>37.94</x:v>
      </x:c>
      <x:c r="L33" s="24" t="n">
        <x:v>37.94</x:v>
      </x:c>
      <x:c r="M33" s="24" t="n">
        <x:v>37.94</x:v>
      </x:c>
    </x:row>
    <x:row r="34" ht="18" customHeight="1">
      <x:c r="A34" t="n">
        <x:v>31</x:v>
      </x:c>
      <x:c r="B34" t="str">
        <x:v>Dawood</x:v>
      </x:c>
      <x:c r="C34" t="str">
        <x:v>Wind</x:v>
      </x:c>
      <x:c r="D34" t="n">
        <x:v>121</x:v>
      </x:c>
      <x:c r="E34" s="24" t="n">
        <x:v>30.99</x:v>
      </x:c>
      <x:c r="F34" s="24" t="n">
        <x:v>30.95</x:v>
      </x:c>
      <x:c r="G34" s="24" t="n">
        <x:v>30.99</x:v>
      </x:c>
      <x:c r="H34" s="24" t="n">
        <x:v>30.99</x:v>
      </x:c>
      <x:c r="I34" s="24" t="n">
        <x:v>30.99</x:v>
      </x:c>
      <x:c r="J34" s="24" t="n">
        <x:v>30.95</x:v>
      </x:c>
      <x:c r="K34" s="24" t="n">
        <x:v>30.99</x:v>
      </x:c>
      <x:c r="L34" s="24" t="n">
        <x:v>30.99</x:v>
      </x:c>
      <x:c r="M34" s="24" t="n">
        <x:v>30.99</x:v>
      </x:c>
    </x:row>
    <x:row r="35" ht="18" customHeight="1">
      <x:c r="A35" t="n">
        <x:v>32</x:v>
      </x:c>
      <x:c r="B35" t="str">
        <x:v>Din</x:v>
      </x:c>
      <x:c r="C35" t="str">
        <x:v>Wind</x:v>
      </x:c>
      <x:c r="D35" t="n">
        <x:v>121</x:v>
      </x:c>
      <x:c r="E35" s="24" t="n">
        <x:v>37.94</x:v>
      </x:c>
      <x:c r="F35" s="24" t="n">
        <x:v>37.89</x:v>
      </x:c>
      <x:c r="G35" s="24" t="n">
        <x:v>37.94</x:v>
      </x:c>
      <x:c r="H35" s="24" t="n">
        <x:v>37.94</x:v>
      </x:c>
      <x:c r="I35" s="24" t="n">
        <x:v>37.94</x:v>
      </x:c>
      <x:c r="J35" s="24" t="n">
        <x:v>37.89</x:v>
      </x:c>
      <x:c r="K35" s="24" t="n">
        <x:v>37.94</x:v>
      </x:c>
      <x:c r="L35" s="24" t="n">
        <x:v>37.94</x:v>
      </x:c>
      <x:c r="M35" s="24" t="n">
        <x:v>37.94</x:v>
      </x:c>
    </x:row>
    <x:row r="36" ht="18" customHeight="1">
      <x:c r="A36" t="n">
        <x:v>33</x:v>
      </x:c>
      <x:c r="B36" t="str">
        <x:v>34 35 % 205 Karora</x:v>
      </x:c>
      <x:c r="C36" t="str">
        <x:v>Hydro_Committed</x:v>
      </x:c>
      <x:c r="D36" t="n">
        <x:v>126</x:v>
      </x:c>
      <x:c r="E36" s="24" t="n">
        <x:v>71.09</x:v>
      </x:c>
      <x:c r="F36" s="24" t="n">
        <x:v>71.77</x:v>
      </x:c>
      <x:c r="G36" s="24" t="n">
        <x:v>71.9</x:v>
      </x:c>
      <x:c r="H36" s="24" t="n">
        <x:v>71.11</x:v>
      </x:c>
      <x:c r="I36" s="24" t="n">
        <x:v>70.94</x:v>
      </x:c>
      <x:c r="J36" s="24" t="n">
        <x:v>70.81</x:v>
      </x:c>
      <x:c r="K36" s="24" t="n">
        <x:v>69.91</x:v>
      </x:c>
      <x:c r="L36" s="24" t="n">
        <x:v>70.41</x:v>
      </x:c>
      <x:c r="M36" s="24" t="n">
        <x:v>71.07</x:v>
      </x:c>
    </x:row>
    <x:row r="37" ht="18" customHeight="1">
      <x:c r="A37" t="n">
        <x:v>34</x:v>
      </x:c>
      <x:c r="B37" t="str">
        <x:v>35 % 205 Karora</x:v>
      </x:c>
      <x:c r="C37" t="str">
        <x:v>Hydro_Committed</x:v>
      </x:c>
      <x:c r="D37" t="n">
        <x:v>126</x:v>
      </x:c>
      <x:c r="E37" s="24" t="n">
        <x:v>71.09</x:v>
      </x:c>
      <x:c r="F37" s="24" t="n">
        <x:v>71.77</x:v>
      </x:c>
      <x:c r="G37" s="24" t="n">
        <x:v>71.9</x:v>
      </x:c>
      <x:c r="H37" s="24" t="n">
        <x:v>71.11</x:v>
      </x:c>
      <x:c r="I37" s="24" t="n">
        <x:v>70.94</x:v>
      </x:c>
      <x:c r="J37" s="24" t="n">
        <x:v>70.81</x:v>
      </x:c>
      <x:c r="K37" s="24" t="n">
        <x:v>69.91</x:v>
      </x:c>
      <x:c r="L37" s="24" t="n">
        <x:v>70.41</x:v>
      </x:c>
      <x:c r="M37" s="24" t="n">
        <x:v>71.07</x:v>
      </x:c>
    </x:row>
    <x:row r="38" ht="18" customHeight="1">
      <x:c r="A38" t="n">
        <x:v>35</x:v>
      </x:c>
      <x:c r="B38" t="str">
        <x:v>% 205 Karora</x:v>
      </x:c>
      <x:c r="C38" t="str">
        <x:v>Hydro_Committed</x:v>
      </x:c>
      <x:c r="D38" t="n">
        <x:v>126</x:v>
      </x:c>
      <x:c r="E38" s="24" t="n">
        <x:v>71.09</x:v>
      </x:c>
      <x:c r="F38" s="24" t="n">
        <x:v>71.77</x:v>
      </x:c>
      <x:c r="G38" s="24" t="n">
        <x:v>71.9</x:v>
      </x:c>
      <x:c r="H38" s="24" t="n">
        <x:v>71.11</x:v>
      </x:c>
      <x:c r="I38" s="24" t="n">
        <x:v>70.94</x:v>
      </x:c>
      <x:c r="J38" s="24" t="n">
        <x:v>70.81</x:v>
      </x:c>
      <x:c r="K38" s="24" t="n">
        <x:v>69.91</x:v>
      </x:c>
      <x:c r="L38" s="24" t="n">
        <x:v>70.41</x:v>
      </x:c>
      <x:c r="M38" s="24" t="n">
        <x:v>71.07</x:v>
      </x:c>
    </x:row>
    <x:row r="39" ht="18" customHeight="1">
      <x:c r="A39" t="n">
        <x:v>36</x:v>
      </x:c>
      <x:c r="B39" t="str">
        <x:v>Gul Ahmed</x:v>
      </x:c>
      <x:c r="C39" t="str">
        <x:v>Wind</x:v>
      </x:c>
      <x:c r="D39" t="n">
        <x:v>121</x:v>
      </x:c>
      <x:c r="E39" s="24" t="n">
        <x:v>30.99</x:v>
      </x:c>
      <x:c r="F39" s="24" t="n">
        <x:v>30.95</x:v>
      </x:c>
      <x:c r="G39" s="24" t="n">
        <x:v>30.99</x:v>
      </x:c>
      <x:c r="H39" s="24" t="n">
        <x:v>30.99</x:v>
      </x:c>
      <x:c r="I39" s="24" t="n">
        <x:v>30.99</x:v>
      </x:c>
      <x:c r="J39" s="24" t="n">
        <x:v>30.95</x:v>
      </x:c>
      <x:c r="K39" s="24" t="n">
        <x:v>30.99</x:v>
      </x:c>
      <x:c r="L39" s="24" t="n">
        <x:v>30.99</x:v>
      </x:c>
      <x:c r="M39" s="24" t="n">
        <x:v>30.99</x:v>
      </x:c>
    </x:row>
    <x:row r="40" ht="18" customHeight="1">
      <x:c r="A40" t="n">
        <x:v>37</x:v>
      </x:c>
      <x:c r="B40" t="str">
        <x:v>Gul_Electric</x:v>
      </x:c>
      <x:c r="C40" t="str">
        <x:v>Wind</x:v>
      </x:c>
      <x:c r="D40" t="n">
        <x:v>122</x:v>
      </x:c>
      <x:c r="E40" s="24" t="n">
        <x:v>37.94</x:v>
      </x:c>
      <x:c r="F40" s="24" t="n">
        <x:v>37.89</x:v>
      </x:c>
      <x:c r="G40" s="24" t="n">
        <x:v>37.94</x:v>
      </x:c>
      <x:c r="H40" s="24" t="n">
        <x:v>37.94</x:v>
      </x:c>
      <x:c r="I40" s="24" t="n">
        <x:v>37.94</x:v>
      </x:c>
      <x:c r="J40" s="24" t="n">
        <x:v>37.89</x:v>
      </x:c>
      <x:c r="K40" s="24" t="n">
        <x:v>37.94</x:v>
      </x:c>
      <x:c r="L40" s="24" t="n">
        <x:v>37.94</x:v>
      </x:c>
      <x:c r="M40" s="24" t="n">
        <x:v>37.94</x:v>
      </x:c>
    </x:row>
    <x:row r="41" ht="18" customHeight="1">
      <x:c r="A41" t="n">
        <x:v>38</x:v>
      </x:c>
      <x:c r="B41" t="str">
        <x:v>Hawa</x:v>
      </x:c>
      <x:c r="C41" t="str">
        <x:v>Wind</x:v>
      </x:c>
      <x:c r="D41" t="n">
        <x:v>122</x:v>
      </x:c>
      <x:c r="E41" s="24" t="n">
        <x:v>34.86</x:v>
      </x:c>
      <x:c r="F41" s="24" t="n">
        <x:v>34.82</x:v>
      </x:c>
      <x:c r="G41" s="24" t="n">
        <x:v>34.86</x:v>
      </x:c>
      <x:c r="H41" s="24" t="n">
        <x:v>34.86</x:v>
      </x:c>
      <x:c r="I41" s="24" t="n">
        <x:v>34.86</x:v>
      </x:c>
      <x:c r="J41" s="24" t="n">
        <x:v>34.82</x:v>
      </x:c>
      <x:c r="K41" s="24" t="n">
        <x:v>34.86</x:v>
      </x:c>
      <x:c r="L41" s="24" t="n">
        <x:v>34.86</x:v>
      </x:c>
      <x:c r="M41" s="24" t="n">
        <x:v>34.86</x:v>
      </x:c>
    </x:row>
    <x:row r="42" ht="18" customHeight="1">
      <x:c r="A42" t="n">
        <x:v>39</x:v>
      </x:c>
      <x:c r="B42" t="str">
        <x:v>Hybrid_NGC</x:v>
      </x:c>
      <x:c r="C42" t="str">
        <x:v>Wind</x:v>
      </x:c>
      <x:c r="D42" t="n">
        <x:v>122</x:v>
      </x:c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v>0</x:v>
      </x:c>
      <x:c r="J42" s="24" t="n">
        <x:v>0</x:v>
      </x:c>
      <x:c r="K42" s="24" t="n">
        <x:v>0</x:v>
      </x:c>
      <x:c r="L42" s="24" t="n">
        <x:v>0</x:v>
      </x:c>
      <x:c r="M42" s="24" t="n">
        <x:v>0</x:v>
      </x:c>
    </x:row>
    <x:row r="43" ht="18" customHeight="1">
      <x:c r="A43" t="n">
        <x:v>40</x:v>
      </x:c>
      <x:c r="B43" t="str">
        <x:v>Indus_Energy</x:v>
      </x:c>
      <x:c r="C43" t="str">
        <x:v>Wind</x:v>
      </x:c>
      <x:c r="D43" t="n">
        <x:v>122</x:v>
      </x:c>
      <x:c r="E43" s="24" t="n">
        <x:v>37.94</x:v>
      </x:c>
      <x:c r="F43" s="24" t="n">
        <x:v>37.89</x:v>
      </x:c>
      <x:c r="G43" s="24" t="n">
        <x:v>37.94</x:v>
      </x:c>
      <x:c r="H43" s="24" t="n">
        <x:v>37.94</x:v>
      </x:c>
      <x:c r="I43" s="24" t="n">
        <x:v>37.94</x:v>
      </x:c>
      <x:c r="J43" s="24" t="n">
        <x:v>37.89</x:v>
      </x:c>
      <x:c r="K43" s="24" t="n">
        <x:v>37.94</x:v>
      </x:c>
      <x:c r="L43" s="24" t="n">
        <x:v>37.94</x:v>
      </x:c>
      <x:c r="M43" s="24" t="n">
        <x:v>37.94</x:v>
      </x:c>
    </x:row>
    <x:row r="44" ht="18" customHeight="1">
      <x:c r="A44" t="n">
        <x:v>41</x:v>
      </x:c>
      <x:c r="B44" t="str">
        <x:v>Jhimpir</x:v>
      </x:c>
      <x:c r="C44" t="str">
        <x:v>Wind</x:v>
      </x:c>
      <x:c r="D44" t="n">
        <x:v>122</x:v>
      </x:c>
      <x:c r="E44" s="24" t="n">
        <x:v>34.86</x:v>
      </x:c>
      <x:c r="F44" s="24" t="n">
        <x:v>34.82</x:v>
      </x:c>
      <x:c r="G44" s="24" t="n">
        <x:v>34.86</x:v>
      </x:c>
      <x:c r="H44" s="24" t="n">
        <x:v>34.86</x:v>
      </x:c>
      <x:c r="I44" s="24" t="n">
        <x:v>34.86</x:v>
      </x:c>
      <x:c r="J44" s="24" t="n">
        <x:v>34.82</x:v>
      </x:c>
      <x:c r="K44" s="24" t="n">
        <x:v>34.86</x:v>
      </x:c>
      <x:c r="L44" s="24" t="n">
        <x:v>34.86</x:v>
      </x:c>
      <x:c r="M44" s="24" t="n">
        <x:v>34.86</x:v>
      </x:c>
    </x:row>
    <x:row r="45" ht="18" customHeight="1">
      <x:c r="A45" t="n">
        <x:v>42</x:v>
      </x:c>
      <x:c r="B45" t="str">
        <x:v>Lakeside</x:v>
      </x:c>
      <x:c r="C45" t="str">
        <x:v>Wind</x:v>
      </x:c>
      <x:c r="D45" t="n">
        <x:v>122</x:v>
      </x:c>
      <x:c r="E45" s="24" t="n">
        <x:v>38.93</x:v>
      </x:c>
      <x:c r="F45" s="24" t="n">
        <x:v>38.88</x:v>
      </x:c>
      <x:c r="G45" s="24" t="n">
        <x:v>38.93</x:v>
      </x:c>
      <x:c r="H45" s="24" t="n">
        <x:v>38.93</x:v>
      </x:c>
      <x:c r="I45" s="24" t="n">
        <x:v>38.93</x:v>
      </x:c>
      <x:c r="J45" s="24" t="n">
        <x:v>38.88</x:v>
      </x:c>
      <x:c r="K45" s="24" t="n">
        <x:v>38.93</x:v>
      </x:c>
      <x:c r="L45" s="24" t="n">
        <x:v>38.93</x:v>
      </x:c>
      <x:c r="M45" s="24" t="n">
        <x:v>38.93</x:v>
      </x:c>
    </x:row>
    <x:row r="46" ht="18" customHeight="1">
      <x:c r="A46" t="n">
        <x:v>43</x:v>
      </x:c>
      <x:c r="B46" t="str">
        <x:v>Liberty_Wind_1</x:v>
      </x:c>
      <x:c r="C46" t="str">
        <x:v>Wind</x:v>
      </x:c>
      <x:c r="D46" t="n">
        <x:v>122</x:v>
      </x:c>
      <x:c r="E46" s="24" t="n">
        <x:v>37.94</x:v>
      </x:c>
      <x:c r="F46" s="24" t="n">
        <x:v>37.89</x:v>
      </x:c>
      <x:c r="G46" s="24" t="n">
        <x:v>37.94</x:v>
      </x:c>
      <x:c r="H46" s="24" t="n">
        <x:v>37.94</x:v>
      </x:c>
      <x:c r="I46" s="24" t="n">
        <x:v>37.94</x:v>
      </x:c>
      <x:c r="J46" s="24" t="n">
        <x:v>37.89</x:v>
      </x:c>
      <x:c r="K46" s="24" t="n">
        <x:v>37.94</x:v>
      </x:c>
      <x:c r="L46" s="24" t="n">
        <x:v>37.94</x:v>
      </x:c>
      <x:c r="M46" s="24" t="n">
        <x:v>37.94</x:v>
      </x:c>
    </x:row>
    <x:row r="47" ht="18" customHeight="1">
      <x:c r="A47" t="n">
        <x:v>44</x:v>
      </x:c>
      <x:c r="B47" t="str">
        <x:v>Liberty_Wind_2</x:v>
      </x:c>
      <x:c r="C47" t="str">
        <x:v>Wind</x:v>
      </x:c>
      <x:c r="D47" t="n">
        <x:v>122</x:v>
      </x:c>
      <x:c r="E47" s="24" t="n">
        <x:v>37.94</x:v>
      </x:c>
      <x:c r="F47" s="24" t="n">
        <x:v>37.89</x:v>
      </x:c>
      <x:c r="G47" s="24" t="n">
        <x:v>37.94</x:v>
      </x:c>
      <x:c r="H47" s="24" t="n">
        <x:v>37.94</x:v>
      </x:c>
      <x:c r="I47" s="24" t="n">
        <x:v>37.94</x:v>
      </x:c>
      <x:c r="J47" s="24" t="n">
        <x:v>37.89</x:v>
      </x:c>
      <x:c r="K47" s="24" t="n">
        <x:v>37.94</x:v>
      </x:c>
      <x:c r="L47" s="24" t="n">
        <x:v>37.94</x:v>
      </x:c>
      <x:c r="M47" s="24" t="n">
        <x:v>37.94</x:v>
      </x:c>
    </x:row>
    <x:row r="48" ht="18" customHeight="1">
      <x:c r="A48" t="n">
        <x:v>45</x:v>
      </x:c>
      <x:c r="B48" t="str">
        <x:v>Master</x:v>
      </x:c>
      <x:c r="C48" t="str">
        <x:v>Wind</x:v>
      </x:c>
      <x:c r="D48" t="n">
        <x:v>122</x:v>
      </x:c>
      <x:c r="E48" s="24" t="n">
        <x:v>30.99</x:v>
      </x:c>
      <x:c r="F48" s="24" t="n">
        <x:v>30.95</x:v>
      </x:c>
      <x:c r="G48" s="24" t="n">
        <x:v>30.99</x:v>
      </x:c>
      <x:c r="H48" s="24" t="n">
        <x:v>30.99</x:v>
      </x:c>
      <x:c r="I48" s="24" t="n">
        <x:v>30.99</x:v>
      </x:c>
      <x:c r="J48" s="24" t="n">
        <x:v>30.95</x:v>
      </x:c>
      <x:c r="K48" s="24" t="n">
        <x:v>30.99</x:v>
      </x:c>
      <x:c r="L48" s="24" t="n">
        <x:v>30.99</x:v>
      </x:c>
      <x:c r="M48" s="24" t="n">
        <x:v>30.99</x:v>
      </x:c>
    </x:row>
    <x:row r="49" ht="18" customHeight="1">
      <x:c r="A49" t="n">
        <x:v>46</x:v>
      </x:c>
      <x:c r="B49" t="str">
        <x:v>Master_Green</x:v>
      </x:c>
      <x:c r="C49" t="str">
        <x:v>Wind</x:v>
      </x:c>
      <x:c r="D49" t="n">
        <x:v>122</x:v>
      </x:c>
      <x:c r="E49" s="24" t="n">
        <x:v>37.94</x:v>
      </x:c>
      <x:c r="F49" s="24" t="n">
        <x:v>37.89</x:v>
      </x:c>
      <x:c r="G49" s="24" t="n">
        <x:v>37.94</x:v>
      </x:c>
      <x:c r="H49" s="24" t="n">
        <x:v>37.94</x:v>
      </x:c>
      <x:c r="I49" s="24" t="n">
        <x:v>37.94</x:v>
      </x:c>
      <x:c r="J49" s="24" t="n">
        <x:v>37.89</x:v>
      </x:c>
      <x:c r="K49" s="24" t="n">
        <x:v>37.94</x:v>
      </x:c>
      <x:c r="L49" s="24" t="n">
        <x:v>37.94</x:v>
      </x:c>
      <x:c r="M49" s="24" t="n">
        <x:v>37.94</x:v>
      </x:c>
    </x:row>
    <x:row r="50" ht="18" customHeight="1">
      <x:c r="A50" t="n">
        <x:v>47</x:v>
      </x:c>
      <x:c r="B50" t="str">
        <x:v>Metro_Power</x:v>
      </x:c>
      <x:c r="C50" t="str">
        <x:v>Wind</x:v>
      </x:c>
      <x:c r="D50" t="n">
        <x:v>122</x:v>
      </x:c>
      <x:c r="E50" s="24" t="n">
        <x:v>31.99</x:v>
      </x:c>
      <x:c r="F50" s="24" t="n">
        <x:v>31.94</x:v>
      </x:c>
      <x:c r="G50" s="24" t="n">
        <x:v>31.99</x:v>
      </x:c>
      <x:c r="H50" s="24" t="n">
        <x:v>31.99</x:v>
      </x:c>
      <x:c r="I50" s="24" t="n">
        <x:v>31.99</x:v>
      </x:c>
      <x:c r="J50" s="24" t="n">
        <x:v>31.94</x:v>
      </x:c>
      <x:c r="K50" s="24" t="n">
        <x:v>31.99</x:v>
      </x:c>
      <x:c r="L50" s="24" t="n">
        <x:v>31.99</x:v>
      </x:c>
      <x:c r="M50" s="24" t="n">
        <x:v>31.98</x:v>
      </x:c>
    </x:row>
    <x:row r="51" ht="18" customHeight="1">
      <x:c r="A51" t="n">
        <x:v>48</x:v>
      </x:c>
      <x:c r="B51" t="str">
        <x:v>Metro_Wind</x:v>
      </x:c>
      <x:c r="C51" t="str">
        <x:v>Wind</x:v>
      </x:c>
      <x:c r="D51" t="n">
        <x:v>122</x:v>
      </x:c>
      <x:c r="E51" s="24" t="n">
        <x:v>37.94</x:v>
      </x:c>
      <x:c r="F51" s="24" t="n">
        <x:v>37.89</x:v>
      </x:c>
      <x:c r="G51" s="24" t="n">
        <x:v>37.94</x:v>
      </x:c>
      <x:c r="H51" s="24" t="n">
        <x:v>37.94</x:v>
      </x:c>
      <x:c r="I51" s="24" t="n">
        <x:v>37.94</x:v>
      </x:c>
      <x:c r="J51" s="24" t="n">
        <x:v>37.89</x:v>
      </x:c>
      <x:c r="K51" s="24" t="n">
        <x:v>37.94</x:v>
      </x:c>
      <x:c r="L51" s="24" t="n">
        <x:v>37.94</x:v>
      </x:c>
      <x:c r="M51" s="24" t="n">
        <x:v>37.94</x:v>
      </x:c>
    </x:row>
    <x:row r="52" ht="18" customHeight="1">
      <x:c r="A52" t="n">
        <x:v>49</x:v>
      </x:c>
      <x:c r="B52" t="str">
        <x:v>NASDA</x:v>
      </x:c>
      <x:c r="C52" t="str">
        <x:v>Wind</x:v>
      </x:c>
      <x:c r="D52" t="n">
        <x:v>122</x:v>
      </x:c>
      <x:c r="E52" s="24" t="n">
        <x:v>38.93</x:v>
      </x:c>
      <x:c r="F52" s="24" t="n">
        <x:v>38.88</x:v>
      </x:c>
      <x:c r="G52" s="24" t="n">
        <x:v>38.93</x:v>
      </x:c>
      <x:c r="H52" s="24" t="n">
        <x:v>38.93</x:v>
      </x:c>
      <x:c r="I52" s="24" t="n">
        <x:v>38.93</x:v>
      </x:c>
      <x:c r="J52" s="24" t="n">
        <x:v>38.88</x:v>
      </x:c>
      <x:c r="K52" s="24" t="n">
        <x:v>38.93</x:v>
      </x:c>
      <x:c r="L52" s="24" t="n">
        <x:v>38.93</x:v>
      </x:c>
      <x:c r="M52" s="24" t="n">
        <x:v>38.93</x:v>
      </x:c>
    </x:row>
    <x:row r="53" ht="18" customHeight="1">
      <x:c r="A53" t="n">
        <x:v>50</x:v>
      </x:c>
      <x:c r="B53" t="str">
        <x:v>New_Wind</x:v>
      </x:c>
      <x:c r="C53" t="str">
        <x:v>Wind</x:v>
      </x:c>
      <x:c r="D53" t="n">
        <x:v>122</x:v>
      </x:c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v>41.98</x:v>
      </x:c>
      <x:c r="J53" s="24" t="n">
        <x:v>41.92</x:v>
      </x:c>
      <x:c r="K53" s="24" t="n">
        <x:v>41.98</x:v>
      </x:c>
      <x:c r="L53" s="24" t="n">
        <x:v>41.98</x:v>
      </x:c>
      <x:c r="M53" s="24" t="n">
        <x:v>41.98</x:v>
      </x:c>
    </x:row>
    <x:row r="54" ht="18" customHeight="1">
      <x:c r="A54" t="n">
        <x:v>51</x:v>
      </x:c>
      <x:c r="B54" t="str">
        <x:v>Sachal</x:v>
      </x:c>
      <x:c r="C54" t="str">
        <x:v>Wind</x:v>
      </x:c>
      <x:c r="D54" t="n">
        <x:v>122</x:v>
      </x:c>
      <x:c r="E54" s="24" t="n">
        <x:v>30.99</x:v>
      </x:c>
      <x:c r="F54" s="24" t="n">
        <x:v>30.95</x:v>
      </x:c>
      <x:c r="G54" s="24" t="n">
        <x:v>30.99</x:v>
      </x:c>
      <x:c r="H54" s="24" t="n">
        <x:v>30.99</x:v>
      </x:c>
      <x:c r="I54" s="24" t="n">
        <x:v>30.99</x:v>
      </x:c>
      <x:c r="J54" s="24" t="n">
        <x:v>30.95</x:v>
      </x:c>
      <x:c r="K54" s="24" t="n">
        <x:v>30.99</x:v>
      </x:c>
      <x:c r="L54" s="24" t="n">
        <x:v>30.99</x:v>
      </x:c>
      <x:c r="M54" s="24" t="n">
        <x:v>30.99</x:v>
      </x:c>
    </x:row>
    <x:row r="55" ht="18" customHeight="1">
      <x:c r="A55" t="n">
        <x:v>52</x:v>
      </x:c>
      <x:c r="B55" t="str">
        <x:v>Sapphire_Wind</x:v>
      </x:c>
      <x:c r="C55" t="str">
        <x:v>Wind</x:v>
      </x:c>
      <x:c r="D55" t="n">
        <x:v>122</x:v>
      </x:c>
      <x:c r="E55" s="24" t="n">
        <x:v>30.99</x:v>
      </x:c>
      <x:c r="F55" s="24" t="n">
        <x:v>30.95</x:v>
      </x:c>
      <x:c r="G55" s="24" t="n">
        <x:v>30.99</x:v>
      </x:c>
      <x:c r="H55" s="24" t="n">
        <x:v>30.99</x:v>
      </x:c>
      <x:c r="I55" s="24" t="n">
        <x:v>30.99</x:v>
      </x:c>
      <x:c r="J55" s="24" t="n">
        <x:v>30.95</x:v>
      </x:c>
      <x:c r="K55" s="24" t="n">
        <x:v>30.99</x:v>
      </x:c>
      <x:c r="L55" s="24" t="n">
        <x:v>30.99</x:v>
      </x:c>
      <x:c r="M55" s="24" t="n">
        <x:v>30.99</x:v>
      </x:c>
    </x:row>
    <x:row r="56" ht="18" customHeight="1">
      <x:c r="A56" t="n">
        <x:v>53</x:v>
      </x:c>
      <x:c r="B56" t="str">
        <x:v>Tenaga</x:v>
      </x:c>
      <x:c r="C56" t="str">
        <x:v>Wind</x:v>
      </x:c>
      <x:c r="D56" t="n">
        <x:v>122</x:v>
      </x:c>
      <x:c r="E56" s="24" t="n">
        <x:v>30.99</x:v>
      </x:c>
      <x:c r="F56" s="24" t="n">
        <x:v>30.95</x:v>
      </x:c>
      <x:c r="G56" s="24" t="n">
        <x:v>30.99</x:v>
      </x:c>
      <x:c r="H56" s="24" t="n">
        <x:v>30.99</x:v>
      </x:c>
      <x:c r="I56" s="24" t="n">
        <x:v>30.99</x:v>
      </x:c>
      <x:c r="J56" s="24" t="n">
        <x:v>30.95</x:v>
      </x:c>
      <x:c r="K56" s="24" t="n">
        <x:v>30.99</x:v>
      </x:c>
      <x:c r="L56" s="24" t="n">
        <x:v>30.99</x:v>
      </x:c>
      <x:c r="M56" s="24" t="n">
        <x:v>30.99</x:v>
      </x:c>
    </x:row>
    <x:row r="57" ht="18" customHeight="1">
      <x:c r="A57" t="n">
        <x:v>54</x:v>
      </x:c>
      <x:c r="B57" t="str">
        <x:v>Three_Gorges_I</x:v>
      </x:c>
      <x:c r="C57" t="str">
        <x:v>Wind</x:v>
      </x:c>
      <x:c r="D57" t="n">
        <x:v>122</x:v>
      </x:c>
      <x:c r="E57" s="24" t="n">
        <x:v>31.99</x:v>
      </x:c>
      <x:c r="F57" s="24" t="n">
        <x:v>31.94</x:v>
      </x:c>
      <x:c r="G57" s="24" t="n">
        <x:v>31.99</x:v>
      </x:c>
      <x:c r="H57" s="24" t="n">
        <x:v>31.99</x:v>
      </x:c>
      <x:c r="I57" s="24" t="n">
        <x:v>31.99</x:v>
      </x:c>
      <x:c r="J57" s="24" t="n">
        <x:v>31.94</x:v>
      </x:c>
      <x:c r="K57" s="24" t="n">
        <x:v>31.99</x:v>
      </x:c>
      <x:c r="L57" s="24" t="n">
        <x:v>31.99</x:v>
      </x:c>
      <x:c r="M57" s="24" t="n">
        <x:v>31.99</x:v>
      </x:c>
    </x:row>
    <x:row r="58" ht="18" customHeight="1">
      <x:c r="A58" t="n">
        <x:v>55</x:v>
      </x:c>
      <x:c r="B58" t="str">
        <x:v>Three_Gorges_II</x:v>
      </x:c>
      <x:c r="C58" t="str">
        <x:v>Wind</x:v>
      </x:c>
      <x:c r="D58" t="n">
        <x:v>122</x:v>
      </x:c>
      <x:c r="E58" s="24" t="n">
        <x:v>34.86</x:v>
      </x:c>
      <x:c r="F58" s="24" t="n">
        <x:v>34.82</x:v>
      </x:c>
      <x:c r="G58" s="24" t="n">
        <x:v>34.86</x:v>
      </x:c>
      <x:c r="H58" s="24" t="n">
        <x:v>34.86</x:v>
      </x:c>
      <x:c r="I58" s="24" t="n">
        <x:v>34.86</x:v>
      </x:c>
      <x:c r="J58" s="24" t="n">
        <x:v>34.82</x:v>
      </x:c>
      <x:c r="K58" s="24" t="n">
        <x:v>34.86</x:v>
      </x:c>
      <x:c r="L58" s="24" t="n">
        <x:v>34.86</x:v>
      </x:c>
      <x:c r="M58" s="24" t="n">
        <x:v>34.86</x:v>
      </x:c>
    </x:row>
    <x:row r="59" ht="18" customHeight="1">
      <x:c r="A59" t="n">
        <x:v>56</x:v>
      </x:c>
      <x:c r="B59" t="str">
        <x:v>Three_Gorges_III</x:v>
      </x:c>
      <x:c r="C59" t="str">
        <x:v>Wind</x:v>
      </x:c>
      <x:c r="D59" t="n">
        <x:v>122</x:v>
      </x:c>
      <x:c r="E59" s="24" t="n">
        <x:v>34.86</x:v>
      </x:c>
      <x:c r="F59" s="24" t="n">
        <x:v>34.82</x:v>
      </x:c>
      <x:c r="G59" s="24" t="n">
        <x:v>34.86</x:v>
      </x:c>
      <x:c r="H59" s="24" t="n">
        <x:v>34.86</x:v>
      </x:c>
      <x:c r="I59" s="24" t="n">
        <x:v>34.86</x:v>
      </x:c>
      <x:c r="J59" s="24" t="n">
        <x:v>34.82</x:v>
      </x:c>
      <x:c r="K59" s="24" t="n">
        <x:v>34.86</x:v>
      </x:c>
      <x:c r="L59" s="24" t="n">
        <x:v>34.86</x:v>
      </x:c>
      <x:c r="M59" s="24" t="n">
        <x:v>34.86</x:v>
      </x:c>
    </x:row>
    <x:row r="60" ht="18" customHeight="1">
      <x:c r="A60" t="n">
        <x:v>57</x:v>
      </x:c>
      <x:c r="B60" t="str">
        <x:v>Tricom</x:v>
      </x:c>
      <x:c r="C60" t="str">
        <x:v>Wind</x:v>
      </x:c>
      <x:c r="D60" t="n">
        <x:v>122</x:v>
      </x:c>
      <x:c r="E60" s="24" t="n">
        <x:v>37.94</x:v>
      </x:c>
      <x:c r="F60" s="24" t="n">
        <x:v>37.89</x:v>
      </x:c>
      <x:c r="G60" s="24" t="n">
        <x:v>37.94</x:v>
      </x:c>
      <x:c r="H60" s="24" t="n">
        <x:v>37.94</x:v>
      </x:c>
      <x:c r="I60" s="24" t="n">
        <x:v>37.94</x:v>
      </x:c>
      <x:c r="J60" s="24" t="n">
        <x:v>37.89</x:v>
      </x:c>
      <x:c r="K60" s="24" t="n">
        <x:v>37.94</x:v>
      </x:c>
      <x:c r="L60" s="24" t="n">
        <x:v>37.94</x:v>
      </x:c>
      <x:c r="M60" s="24" t="n">
        <x:v>37.94</x:v>
      </x:c>
    </x:row>
    <x:row r="61" ht="18" customHeight="1">
      <x:c r="A61" t="n">
        <x:v>58</x:v>
      </x:c>
      <x:c r="B61" t="str">
        <x:v>Tricon_A</x:v>
      </x:c>
      <x:c r="C61" t="str">
        <x:v>Wind</x:v>
      </x:c>
      <x:c r="D61" t="n">
        <x:v>122</x:v>
      </x:c>
      <x:c r="E61" s="24" t="n">
        <x:v>34.86</x:v>
      </x:c>
      <x:c r="F61" s="24" t="n">
        <x:v>34.82</x:v>
      </x:c>
      <x:c r="G61" s="24" t="n">
        <x:v>34.86</x:v>
      </x:c>
      <x:c r="H61" s="24" t="n">
        <x:v>34.86</x:v>
      </x:c>
      <x:c r="I61" s="24" t="n">
        <x:v>34.86</x:v>
      </x:c>
      <x:c r="J61" s="24" t="n">
        <x:v>34.82</x:v>
      </x:c>
      <x:c r="K61" s="24" t="n">
        <x:v>34.86</x:v>
      </x:c>
      <x:c r="L61" s="24" t="n">
        <x:v>34.86</x:v>
      </x:c>
      <x:c r="M61" s="24" t="n">
        <x:v>34.86</x:v>
      </x:c>
    </x:row>
    <x:row r="62" ht="18" customHeight="1">
      <x:c r="A62" t="n">
        <x:v>59</x:v>
      </x:c>
      <x:c r="B62" t="str">
        <x:v>Tricon_B</x:v>
      </x:c>
      <x:c r="C62" t="str">
        <x:v>Wind</x:v>
      </x:c>
      <x:c r="D62" t="n">
        <x:v>122</x:v>
      </x:c>
      <x:c r="E62" s="24" t="n">
        <x:v>34.86</x:v>
      </x:c>
      <x:c r="F62" s="24" t="n">
        <x:v>34.82</x:v>
      </x:c>
      <x:c r="G62" s="24" t="n">
        <x:v>34.86</x:v>
      </x:c>
      <x:c r="H62" s="24" t="n">
        <x:v>34.86</x:v>
      </x:c>
      <x:c r="I62" s="24" t="n">
        <x:v>34.86</x:v>
      </x:c>
      <x:c r="J62" s="24" t="n">
        <x:v>34.82</x:v>
      </x:c>
      <x:c r="K62" s="24" t="n">
        <x:v>34.86</x:v>
      </x:c>
      <x:c r="L62" s="24" t="n">
        <x:v>34.86</x:v>
      </x:c>
      <x:c r="M62" s="24" t="n">
        <x:v>34.86</x:v>
      </x:c>
    </x:row>
    <x:row r="63" ht="18" customHeight="1">
      <x:c r="A63" t="n">
        <x:v>60</x:v>
      </x:c>
      <x:c r="B63" t="str">
        <x:v>Tricon_C</x:v>
      </x:c>
      <x:c r="C63" t="str">
        <x:v>Wind</x:v>
      </x:c>
      <x:c r="D63" t="n">
        <x:v>122</x:v>
      </x:c>
      <x:c r="E63" s="24" t="n">
        <x:v>34.86</x:v>
      </x:c>
      <x:c r="F63" s="24" t="n">
        <x:v>34.82</x:v>
      </x:c>
      <x:c r="G63" s="24" t="n">
        <x:v>34.86</x:v>
      </x:c>
      <x:c r="H63" s="24" t="n">
        <x:v>34.86</x:v>
      </x:c>
      <x:c r="I63" s="24" t="n">
        <x:v>34.86</x:v>
      </x:c>
      <x:c r="J63" s="24" t="n">
        <x:v>34.82</x:v>
      </x:c>
      <x:c r="K63" s="24" t="n">
        <x:v>34.86</x:v>
      </x:c>
      <x:c r="L63" s="24" t="n">
        <x:v>34.86</x:v>
      </x:c>
      <x:c r="M63" s="24" t="n">
        <x:v>34.86</x:v>
      </x:c>
    </x:row>
    <x:row r="64" ht="18" customHeight="1">
      <x:c r="A64" t="n">
        <x:v>61</x:v>
      </x:c>
      <x:c r="B64" t="str">
        <x:v>UEP</x:v>
      </x:c>
      <x:c r="C64" t="str">
        <x:v>Wind</x:v>
      </x:c>
      <x:c r="D64" t="n">
        <x:v>122</x:v>
      </x:c>
      <x:c r="E64" s="24" t="n">
        <x:v>30.99</x:v>
      </x:c>
      <x:c r="F64" s="24" t="n">
        <x:v>30.95</x:v>
      </x:c>
      <x:c r="G64" s="24" t="n">
        <x:v>30.99</x:v>
      </x:c>
      <x:c r="H64" s="24" t="n">
        <x:v>30.99</x:v>
      </x:c>
      <x:c r="I64" s="24" t="n">
        <x:v>30.99</x:v>
      </x:c>
      <x:c r="J64" s="24" t="n">
        <x:v>30.95</x:v>
      </x:c>
      <x:c r="K64" s="24" t="n">
        <x:v>30.99</x:v>
      </x:c>
      <x:c r="L64" s="24" t="n">
        <x:v>30.99</x:v>
      </x:c>
      <x:c r="M64" s="24" t="n">
        <x:v>30.99</x:v>
      </x:c>
    </x:row>
    <x:row r="65" ht="18" customHeight="1">
      <x:c r="A65" t="n">
        <x:v>62</x:v>
      </x:c>
      <x:c r="B65" t="str">
        <x:v>Wind_Market</x:v>
      </x:c>
      <x:c r="C65" t="str">
        <x:v>Wind</x:v>
      </x:c>
      <x:c r="D65" t="n">
        <x:v>122</x:v>
      </x:c>
      <x:c r="E65" s="24" t="n">
        <x:v>41.98</x:v>
      </x:c>
      <x:c r="F65" s="24" t="n">
        <x:v>41.92</x:v>
      </x:c>
      <x:c r="G65" s="24" t="n">
        <x:v>41.98</x:v>
      </x:c>
      <x:c r="H65" s="24" t="n">
        <x:v>41.98</x:v>
      </x:c>
      <x:c r="I65" s="24" t="n">
        <x:v>41.98</x:v>
      </x:c>
      <x:c r="J65" s="24" t="n">
        <x:v>41.92</x:v>
      </x:c>
      <x:c r="K65" s="24" t="n">
        <x:v>41.98</x:v>
      </x:c>
      <x:c r="L65" s="24" t="n">
        <x:v>41.98</x:v>
      </x:c>
      <x:c r="M65" s="24" t="n">
        <x:v>41.98</x:v>
      </x:c>
    </x:row>
    <x:row r="66" ht="18" customHeight="1">
      <x:c r="A66" t="n">
        <x:v>63</x:v>
      </x:c>
      <x:c r="B66" t="str">
        <x:v>Yunus</x:v>
      </x:c>
      <x:c r="C66" t="str">
        <x:v>Wind</x:v>
      </x:c>
      <x:c r="D66" t="n">
        <x:v>122</x:v>
      </x:c>
      <x:c r="E66" s="24" t="n">
        <x:v>30.99</x:v>
      </x:c>
      <x:c r="F66" s="24" t="n">
        <x:v>30.95</x:v>
      </x:c>
      <x:c r="G66" s="24" t="n">
        <x:v>30.99</x:v>
      </x:c>
      <x:c r="H66" s="24" t="n">
        <x:v>30.99</x:v>
      </x:c>
      <x:c r="I66" s="24" t="n">
        <x:v>30.99</x:v>
      </x:c>
      <x:c r="J66" s="24" t="n">
        <x:v>30.95</x:v>
      </x:c>
      <x:c r="K66" s="24" t="n">
        <x:v>30.99</x:v>
      </x:c>
      <x:c r="L66" s="24" t="n">
        <x:v>30.99</x:v>
      </x:c>
      <x:c r="M66" s="24" t="n">
        <x:v>30.99</x:v>
      </x:c>
    </x:row>
    <x:row r="67" ht="18" customHeight="1">
      <x:c r="A67" t="n">
        <x:v>64</x:v>
      </x:c>
      <x:c r="B67" t="str">
        <x:v>Zephyr</x:v>
      </x:c>
      <x:c r="C67" t="str">
        <x:v>Wind</x:v>
      </x:c>
      <x:c r="D67" t="n">
        <x:v>122</x:v>
      </x:c>
      <x:c r="E67" s="24" t="n">
        <x:v>34.86</x:v>
      </x:c>
      <x:c r="F67" s="24" t="n">
        <x:v>34.82</x:v>
      </x:c>
      <x:c r="G67" s="24" t="n">
        <x:v>34.86</x:v>
      </x:c>
      <x:c r="H67" s="24" t="n">
        <x:v>34.86</x:v>
      </x:c>
      <x:c r="I67" s="24" t="n">
        <x:v>34.86</x:v>
      </x:c>
      <x:c r="J67" s="24" t="n">
        <x:v>34.82</x:v>
      </x:c>
      <x:c r="K67" s="24" t="n">
        <x:v>34.86</x:v>
      </x:c>
      <x:c r="L67" s="24" t="n">
        <x:v>34.86</x:v>
      </x:c>
      <x:c r="M67" s="24" t="n">
        <x:v>34.86</x:v>
      </x:c>
    </x:row>
    <x:row r="68" ht="18" customHeight="1">
      <x:c r="A68" t="n">
        <x:v>65</x:v>
      </x:c>
      <x:c r="B68" t="str">
        <x:v>Zorlu_Wind</x:v>
      </x:c>
      <x:c r="C68" t="str">
        <x:v>Wind</x:v>
      </x:c>
      <x:c r="D68" t="n">
        <x:v>122</x:v>
      </x:c>
      <x:c r="E68" s="24" t="n">
        <x:v>31.99</x:v>
      </x:c>
      <x:c r="F68" s="24" t="n">
        <x:v>31.8</x:v>
      </x:c>
      <x:c r="G68" s="24" t="n">
        <x:v>31.85</x:v>
      </x:c>
      <x:c r="H68" s="24" t="n">
        <x:v>31.85</x:v>
      </x:c>
      <x:c r="I68" s="24" t="n">
        <x:v>31.69</x:v>
      </x:c>
      <x:c r="J68" s="24" t="n">
        <x:v>31.64</x:v>
      </x:c>
      <x:c r="K68" s="24" t="n">
        <x:v>31.69</x:v>
      </x:c>
      <x:c r="L68" s="24" t="n">
        <x:v>31.69</x:v>
      </x:c>
      <x:c r="M68" s="24" t="n">
        <x:v>31.69</x:v>
      </x:c>
    </x:row>
    <x:row r="69" ht="18" customHeight="1">
      <x:c r="A69" t="n">
        <x:v>66</x:v>
      </x:c>
      <x:c r="B69" t="str">
        <x:v>Hybrid_KE</x:v>
      </x:c>
      <x:c r="C69" t="str">
        <x:v>KE_Wind</x:v>
      </x:c>
      <x:c r="D69" t="n">
        <x:v>122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v>0</x:v>
      </x:c>
      <x:c r="J69" s="24" t="n">
        <x:v>0</x:v>
      </x:c>
      <x:c r="K69" s="24" t="n">
        <x:v>0</x:v>
      </x:c>
      <x:c r="L69" s="24" t="n">
        <x:v>0</x:v>
      </x:c>
      <x:c r="M69" s="24" t="n">
        <x:v>0</x:v>
      </x:c>
    </x:row>
    <x:row r="70" ht="18" customHeight="1">
      <x:c r="A70" t="n">
        <x:v>67</x:v>
      </x:c>
      <x:c r="B70" t="str">
        <x:v>KE_New_Wind</x:v>
      </x:c>
      <x:c r="C70" t="str">
        <x:v>KE_Wind</x:v>
      </x:c>
      <x:c r="D70" t="n">
        <x:v>122</x:v>
      </x:c>
      <x:c r="E70" s="24" t="n">
        <x:v>41.98</x:v>
      </x:c>
      <x:c r="F70" s="24" t="n">
        <x:v>41.92</x:v>
      </x:c>
      <x:c r="G70" s="24" t="n">
        <x:v>41.98</x:v>
      </x:c>
      <x:c r="H70" s="24" t="n">
        <x:v>41.98</x:v>
      </x:c>
      <x:c r="I70" s="24" t="n">
        <x:v>41.98</x:v>
      </x:c>
      <x:c r="J70" s="24" t="n">
        <x:v>41.92</x:v>
      </x:c>
      <x:c r="K70" s="24" t="n">
        <x:v>41.98</x:v>
      </x:c>
      <x:c r="L70" s="24" t="n">
        <x:v>41.98</x:v>
      </x:c>
      <x:c r="M70" s="24" t="n">
        <x:v>41.98</x:v>
      </x:c>
    </x:row>
    <x:row r="71" ht="18" customHeight="1">
      <x:c r="A71" t="n">
        <x:v>68</x:v>
      </x:c>
      <x:c r="B71" t="str">
        <x:v>CASA</x:v>
      </x:c>
      <x:c r="C71" t="str">
        <x:v>Interconnection</x:v>
      </x:c>
      <x:c r="D71" t="n">
        <x:v>122</x:v>
      </x:c>
      <x:c r="E71" s="24" t="n">
        <x:v>0</x:v>
      </x:c>
      <x:c r="F71" s="24" t="n">
        <x:v>36.38</x:v>
      </x:c>
      <x:c r="G71" s="24" t="n">
        <x:v>41.88</x:v>
      </x:c>
      <x:c r="H71" s="24" t="n">
        <x:v>41.88</x:v>
      </x:c>
      <x:c r="I71" s="24" t="n">
        <x:v>41.88</x:v>
      </x:c>
      <x:c r="J71" s="24" t="n">
        <x:v>41.8</x:v>
      </x:c>
      <x:c r="K71" s="24" t="n">
        <x:v>41.88</x:v>
      </x:c>
      <x:c r="L71" s="24" t="n">
        <x:v>41.88</x:v>
      </x:c>
      <x:c r="M71" s="24" t="n">
        <x:v>41.88</x:v>
      </x:c>
    </x:row>
    <x:row r="72" ht="18" customHeight="1">
      <x:c r="A72" t="n">
        <x:v>69</x:v>
      </x:c>
      <x:c r="B72" t="str">
        <x:v>Balkani</x:v>
      </x:c>
      <x:c r="C72" t="str">
        <x:v>Hydro Candidate</x:v>
      </x:c>
      <x:c r="D72" t="n">
        <x:v>122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v>0</x:v>
      </x:c>
      <x:c r="J72" s="24" t="n">
        <x:v>0</x:v>
      </x:c>
      <x:c r="K72" s="24" t="n">
        <x:v>0</x:v>
      </x:c>
      <x:c r="L72" s="24" t="n">
        <x:v>0</x:v>
      </x:c>
      <x:c r="M72" s="24" t="n">
        <x:v>0</x:v>
      </x:c>
    </x:row>
    <x:row r="73" ht="18" customHeight="1">
      <x:c r="A73" t="n">
        <x:v>70</x:v>
      </x:c>
      <x:c r="B73" t="str">
        <x:v>Batdara</x:v>
      </x:c>
      <x:c r="C73" t="str">
        <x:v>Hydro Candidate</x:v>
      </x:c>
      <x:c r="D73" t="n">
        <x:v>122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v>0</x:v>
      </x:c>
      <x:c r="J73" s="24" t="n">
        <x:v>0</x:v>
      </x:c>
      <x:c r="K73" s="24" t="n">
        <x:v>41.22</x:v>
      </x:c>
      <x:c r="L73" s="24" t="n">
        <x:v>40.19</x:v>
      </x:c>
      <x:c r="M73" s="24" t="n">
        <x:v>39.72</x:v>
      </x:c>
    </x:row>
    <x:row r="74" ht="18" customHeight="1">
      <x:c r="A74" t="n">
        <x:v>71</x:v>
      </x:c>
      <x:c r="B74" t="str">
        <x:v>Daral Khwar-II</x:v>
      </x:c>
      <x:c r="C74" t="str">
        <x:v>Hydro Candidate</x:v>
      </x:c>
      <x:c r="D74" t="n">
        <x:v>122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v>0</x:v>
      </x:c>
      <x:c r="J74" s="24" t="n">
        <x:v>0</x:v>
      </x:c>
      <x:c r="K74" s="24" t="n">
        <x:v>0</x:v>
      </x:c>
      <x:c r="L74" s="24" t="n">
        <x:v>0</x:v>
      </x:c>
      <x:c r="M74" s="24" t="n">
        <x:v>0</x:v>
      </x:c>
    </x:row>
    <x:row r="75" ht="18" customHeight="1">
      <x:c r="A75" t="n">
        <x:v>72</x:v>
      </x:c>
      <x:c r="B75" t="str">
        <x:v>Ghail</x:v>
      </x:c>
      <x:c r="C75" t="str">
        <x:v>Hydro Candidate</x:v>
      </x:c>
      <x:c r="D75" t="n">
        <x:v>122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v>0</x:v>
      </x:c>
      <x:c r="J75" s="24" t="n">
        <x:v>0</x:v>
      </x:c>
      <x:c r="K75" s="24" t="n">
        <x:v>0</x:v>
      </x:c>
      <x:c r="L75" s="24" t="n">
        <x:v>0</x:v>
      </x:c>
      <x:c r="M75" s="24" t="n">
        <x:v>0</x:v>
      </x:c>
    </x:row>
    <x:row r="76" ht="18" customHeight="1">
      <x:c r="A76" t="n">
        <x:v>73</x:v>
      </x:c>
      <x:c r="B76" t="str">
        <x:v>Jhing-II</x:v>
      </x:c>
      <x:c r="C76" t="str">
        <x:v>Hydro Candidate</x:v>
      </x:c>
      <x:c r="D76" t="n">
        <x:v>122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v>0</x:v>
      </x:c>
      <x:c r="J76" s="24" t="n">
        <x:v>0</x:v>
      </x:c>
      <x:c r="K76" s="24" t="n">
        <x:v>0</x:v>
      </x:c>
      <x:c r="L76" s="24" t="n">
        <x:v>0</x:v>
      </x:c>
      <x:c r="M76" s="24" t="n">
        <x:v>0</x:v>
      </x:c>
    </x:row>
    <x:row r="77" ht="18" customHeight="1">
      <x:c r="A77" t="n">
        <x:v>74</x:v>
      </x:c>
      <x:c r="B77" t="str">
        <x:v># Plant Name</x:v>
      </x:c>
      <x:c r="C77" t="str">
        <x:v>Fuel</x:v>
      </x:c>
      <x:c r="D77" t="n">
        <x:v>123</x:v>
      </x:c>
      <x:c r="E77" s="24" t="n">
        <x:v>27</x:v>
      </x:c>
      <x:c r="F77" s="24" t="n">
        <x:v>28</x:v>
      </x:c>
      <x:c r="G77" s="24" t="n">
        <x:v>29</x:v>
      </x:c>
      <x:c r="H77" s="24" t="n">
        <x:v>30</x:v>
      </x:c>
      <x:c r="I77" s="24" t="n">
        <x:v>31</x:v>
      </x:c>
      <x:c r="J77" s="24" t="n">
        <x:v>32</x:v>
      </x:c>
      <x:c r="K77" s="24" t="n">
        <x:v>33</x:v>
      </x:c>
      <x:c r="L77" s="24" t="n">
        <x:v>34</x:v>
      </x:c>
      <x:c r="M77" s="24" t="n">
        <x:v>35</x:v>
      </x:c>
    </x:row>
    <x:row r="78" ht="18" customHeight="1">
      <x:c r="A78" t="n">
        <x:v>75</x:v>
      </x:c>
      <x:c r="B78" t="str">
        <x:v># Plant Name</x:v>
      </x:c>
      <x:c r="C78" t="str">
        <x:v>Fuel</x:v>
      </x:c>
      <x:c r="D78" t="n">
        <x:v>124</x:v>
      </x:c>
      <x:c r="E78" s="24" t="n">
        <x:v>27</x:v>
      </x:c>
      <x:c r="F78" s="24" t="n">
        <x:v>28</x:v>
      </x:c>
      <x:c r="G78" s="24" t="n">
        <x:v>29</x:v>
      </x:c>
      <x:c r="H78" s="24" t="n">
        <x:v>30</x:v>
      </x:c>
      <x:c r="I78" s="24" t="n">
        <x:v>31</x:v>
      </x:c>
      <x:c r="J78" s="24" t="n">
        <x:v>32</x:v>
      </x:c>
      <x:c r="K78" s="24" t="n">
        <x:v>33</x:v>
      </x:c>
      <x:c r="L78" s="24" t="n">
        <x:v>34</x:v>
      </x:c>
      <x:c r="M78" s="24" t="n">
        <x:v>35</x:v>
      </x:c>
    </x:row>
    <x:row r="79" ht="18" customHeight="1">
      <x:c r="A79" t="n">
        <x:v>76</x:v>
      </x:c>
      <x:c r="B79" t="str">
        <x:v># Plant Name</x:v>
      </x:c>
      <x:c r="C79" t="str">
        <x:v>Fuel</x:v>
      </x:c>
      <x:c r="D79" t="n">
        <x:v>125</x:v>
      </x:c>
      <x:c r="E79" s="24" t="n">
        <x:v>27</x:v>
      </x:c>
      <x:c r="F79" s="24" t="n">
        <x:v>28</x:v>
      </x:c>
      <x:c r="G79" s="24" t="n">
        <x:v>29</x:v>
      </x:c>
      <x:c r="H79" s="24" t="n">
        <x:v>30</x:v>
      </x:c>
      <x:c r="I79" s="24" t="n">
        <x:v>31</x:v>
      </x:c>
      <x:c r="J79" s="24" t="n">
        <x:v>32</x:v>
      </x:c>
      <x:c r="K79" s="24" t="n">
        <x:v>33</x:v>
      </x:c>
      <x:c r="L79" s="24" t="n">
        <x:v>34</x:v>
      </x:c>
      <x:c r="M79" s="24" t="n">
        <x:v>35</x:v>
      </x:c>
    </x:row>
    <x:row r="80" ht="18" customHeight="1">
      <x:c r="A80" t="n">
        <x:v>77</x:v>
      </x:c>
      <x:c r="B80" t="str">
        <x:v># Plant Name</x:v>
      </x:c>
      <x:c r="C80" t="str">
        <x:v>Fuel</x:v>
      </x:c>
      <x:c r="D80" t="n">
        <x:v>126</x:v>
      </x:c>
      <x:c r="E80" s="24" t="n">
        <x:v>27</x:v>
      </x:c>
      <x:c r="F80" s="24" t="n">
        <x:v>28</x:v>
      </x:c>
      <x:c r="G80" s="24" t="n">
        <x:v>29</x:v>
      </x:c>
      <x:c r="H80" s="24" t="n">
        <x:v>30</x:v>
      </x:c>
      <x:c r="I80" s="24" t="n">
        <x:v>31</x:v>
      </x:c>
      <x:c r="J80" s="24" t="n">
        <x:v>32</x:v>
      </x:c>
      <x:c r="K80" s="24" t="n">
        <x:v>33</x:v>
      </x:c>
      <x:c r="L80" s="24" t="n">
        <x:v>34</x:v>
      </x:c>
      <x:c r="M80" s="24" t="n">
        <x:v>35</x:v>
      </x:c>
    </x:row>
    <x:row r="81" ht="18" customHeight="1">
      <x:c r="A81" t="n">
        <x:v>78</x:v>
      </x:c>
      <x:c r="B81" t="str">
        <x:v>Ashkot</x:v>
      </x:c>
      <x:c r="C81" t="str">
        <x:v>HPP Candidate</x:v>
      </x:c>
      <x:c r="D81" t="n">
        <x:v>122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v>0</x:v>
      </x:c>
      <x:c r="J81" s="24" t="n">
        <x:v>0</x:v>
      </x:c>
      <x:c r="K81" s="24" t="n">
        <x:v>0</x:v>
      </x:c>
      <x:c r="L81" s="24" t="n">
        <x:v>0</x:v>
      </x:c>
      <x:c r="M81" s="24" t="n">
        <x:v>0</x:v>
      </x:c>
    </x:row>
    <x:row r="82" ht="18" customHeight="1">
      <x:c r="A82" t="n">
        <x:v>79</x:v>
      </x:c>
      <x:c r="B82" t="str">
        <x:v>Asrit Kedam</x:v>
      </x:c>
      <x:c r="C82" t="str">
        <x:v>HPP Candidate</x:v>
      </x:c>
      <x:c r="D82" t="n">
        <x:v>123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v>0</x:v>
      </x:c>
      <x:c r="J82" s="24" t="n">
        <x:v>0</x:v>
      </x:c>
      <x:c r="K82" s="24" t="n">
        <x:v>0</x:v>
      </x:c>
      <x:c r="L82" s="24" t="n">
        <x:v>0</x:v>
      </x:c>
      <x:c r="M82" s="24" t="n">
        <x:v>0</x:v>
      </x:c>
    </x:row>
    <x:row r="83" ht="18" customHeight="1">
      <x:c r="A83" t="n">
        <x:v>80</x:v>
      </x:c>
      <x:c r="B83" t="str">
        <x:v>Athmuqam</x:v>
      </x:c>
      <x:c r="C83" t="str">
        <x:v>HPP Candidate</x:v>
      </x:c>
      <x:c r="D83" t="n">
        <x:v>123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v>0</x:v>
      </x:c>
      <x:c r="J83" s="24" t="n">
        <x:v>0</x:v>
      </x:c>
      <x:c r="K83" s="24" t="n">
        <x:v>0</x:v>
      </x:c>
      <x:c r="L83" s="24" t="n">
        <x:v>0</x:v>
      </x:c>
      <x:c r="M83" s="24" t="n">
        <x:v>0</x:v>
      </x:c>
    </x:row>
    <x:row r="84" ht="18" customHeight="1">
      <x:c r="A84" t="n">
        <x:v>81</x:v>
      </x:c>
      <x:c r="B84" t="str">
        <x:v>Azad Pattan</x:v>
      </x:c>
      <x:c r="C84" t="str">
        <x:v>HPP Candidate</x:v>
      </x:c>
      <x:c r="D84" t="n">
        <x:v>123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v>0</x:v>
      </x:c>
      <x:c r="J84" s="24" t="n">
        <x:v>0</x:v>
      </x:c>
      <x:c r="K84" s="24" t="n">
        <x:v>0</x:v>
      </x:c>
      <x:c r="L84" s="24" t="n">
        <x:v>0</x:v>
      </x:c>
      <x:c r="M84" s="24" t="n">
        <x:v>0</x:v>
      </x:c>
    </x:row>
    <x:row r="85" ht="18" customHeight="1">
      <x:c r="A85" t="n">
        <x:v>82</x:v>
      </x:c>
      <x:c r="B85" t="str">
        <x:v>Bankhwar</x:v>
      </x:c>
      <x:c r="C85" t="str">
        <x:v>HPP Candidate</x:v>
      </x:c>
      <x:c r="D85" t="n">
        <x:v>123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v>0</x:v>
      </x:c>
      <x:c r="J85" s="24" t="n">
        <x:v>0</x:v>
      </x:c>
      <x:c r="K85" s="24" t="n">
        <x:v>0</x:v>
      </x:c>
      <x:c r="L85" s="24" t="n">
        <x:v>0</x:v>
      </x:c>
      <x:c r="M85" s="24" t="n">
        <x:v>0</x:v>
      </x:c>
    </x:row>
    <x:row r="86" ht="18" customHeight="1">
      <x:c r="A86" t="n">
        <x:v>83</x:v>
      </x:c>
      <x:c r="B86" t="str">
        <x:v>Bata Kundi</x:v>
      </x:c>
      <x:c r="C86" t="str">
        <x:v>HPP Candidate</x:v>
      </x:c>
      <x:c r="D86" t="n">
        <x:v>123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v>0</x:v>
      </x:c>
      <x:c r="J86" s="24" t="n">
        <x:v>0</x:v>
      </x:c>
      <x:c r="K86" s="24" t="n">
        <x:v>0</x:v>
      </x:c>
      <x:c r="L86" s="24" t="n">
        <x:v>0</x:v>
      </x:c>
      <x:c r="M86" s="24" t="n">
        <x:v>0</x:v>
      </x:c>
    </x:row>
    <x:row r="87" ht="18" customHeight="1">
      <x:c r="A87" t="n">
        <x:v>84</x:v>
      </x:c>
      <x:c r="B87" t="str">
        <x:v>Chakoti Hatian</x:v>
      </x:c>
      <x:c r="C87" t="str">
        <x:v>HPP Candidate</x:v>
      </x:c>
      <x:c r="D87" t="n">
        <x:v>123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v>0</x:v>
      </x:c>
      <x:c r="J87" s="24" t="n">
        <x:v>0</x:v>
      </x:c>
      <x:c r="K87" s="24" t="n">
        <x:v>0</x:v>
      </x:c>
      <x:c r="L87" s="24" t="n">
        <x:v>0</x:v>
      </x:c>
      <x:c r="M87" s="24" t="n">
        <x:v>0</x:v>
      </x:c>
    </x:row>
    <x:row r="88" ht="18" customHeight="1">
      <x:c r="A88" t="n">
        <x:v>85</x:v>
      </x:c>
      <x:c r="B88" t="str">
        <x:v>CJ</x:v>
      </x:c>
      <x:c r="C88" t="str">
        <x:v>HPP Candidate</x:v>
      </x:c>
      <x:c r="D88" t="n">
        <x:v>123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v>0</x:v>
      </x:c>
      <x:c r="J88" s="24" t="n">
        <x:v>0</x:v>
      </x:c>
      <x:c r="K88" s="24" t="n">
        <x:v>0</x:v>
      </x:c>
      <x:c r="L88" s="24" t="n">
        <x:v>0</x:v>
      </x:c>
      <x:c r="M88" s="24" t="n">
        <x:v>0</x:v>
      </x:c>
    </x:row>
    <x:row r="89" ht="18" customHeight="1">
      <x:c r="A89" t="n">
        <x:v>86</x:v>
      </x:c>
      <x:c r="B89" t="str">
        <x:v>Dowarian</x:v>
      </x:c>
      <x:c r="C89" t="str">
        <x:v>HPP Candidate</x:v>
      </x:c>
      <x:c r="D89" t="n">
        <x:v>123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v>0</x:v>
      </x:c>
      <x:c r="J89" s="24" t="n">
        <x:v>0</x:v>
      </x:c>
      <x:c r="K89" s="24" t="n">
        <x:v>0</x:v>
      </x:c>
      <x:c r="L89" s="24" t="n">
        <x:v>0</x:v>
      </x:c>
      <x:c r="M89" s="24" t="n">
        <x:v>0</x:v>
      </x:c>
    </x:row>
    <x:row r="90" ht="18" customHeight="1">
      <x:c r="A90" t="n">
        <x:v>87</x:v>
      </x:c>
      <x:c r="B90" t="str">
        <x:v>Gabral Kalam</x:v>
      </x:c>
      <x:c r="C90" t="str">
        <x:v>HPP Candidate</x:v>
      </x:c>
      <x:c r="D90" t="n">
        <x:v>123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v>0</x:v>
      </x:c>
      <x:c r="J90" s="24" t="n">
        <x:v>0</x:v>
      </x:c>
      <x:c r="K90" s="24" t="n">
        <x:v>0</x:v>
      </x:c>
      <x:c r="L90" s="24" t="n">
        <x:v>0</x:v>
      </x:c>
      <x:c r="M90" s="24" t="n">
        <x:v>0</x:v>
      </x:c>
    </x:row>
    <x:row r="91" ht="18" customHeight="1">
      <x:c r="A91" t="n">
        <x:v>88</x:v>
      </x:c>
      <x:c r="B91" t="str">
        <x:v>Gabral Utror</x:v>
      </x:c>
      <x:c r="C91" t="str">
        <x:v>HPP Candidate</x:v>
      </x:c>
      <x:c r="D91" t="n">
        <x:v>123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v>0</x:v>
      </x:c>
      <x:c r="J91" s="24" t="n">
        <x:v>0</x:v>
      </x:c>
      <x:c r="K91" s="24" t="n">
        <x:v>0</x:v>
      </x:c>
      <x:c r="L91" s="24" t="n">
        <x:v>0</x:v>
      </x:c>
      <x:c r="M91" s="24" t="n">
        <x:v>0</x:v>
      </x:c>
    </x:row>
    <x:row r="92" ht="18" customHeight="1">
      <x:c r="A92" t="n">
        <x:v>89</x:v>
      </x:c>
      <x:c r="B92" t="str">
        <x:v>Gumat Nar</x:v>
      </x:c>
      <x:c r="C92" t="str">
        <x:v>HPP Candidate</x:v>
      </x:c>
      <x:c r="D92" t="n">
        <x:v>123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v>0</x:v>
      </x:c>
      <x:c r="J92" s="24" t="n">
        <x:v>0</x:v>
      </x:c>
      <x:c r="K92" s="24" t="n">
        <x:v>0</x:v>
      </x:c>
      <x:c r="L92" s="24" t="n">
        <x:v>0</x:v>
      </x:c>
      <x:c r="M92" s="24" t="n">
        <x:v>0</x:v>
      </x:c>
    </x:row>
    <x:row r="93" ht="18" customHeight="1">
      <x:c r="A93" t="n">
        <x:v>90</x:v>
      </x:c>
      <x:c r="B93" t="str">
        <x:v>Harigehl-Majeedgala</x:v>
      </x:c>
      <x:c r="C93" t="str">
        <x:v>HPP Candidate</x:v>
      </x:c>
      <x:c r="D93" t="n">
        <x:v>123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v>0</x:v>
      </x:c>
      <x:c r="J93" s="24" t="n">
        <x:v>0</x:v>
      </x:c>
      <x:c r="K93" s="24" t="n">
        <x:v>0</x:v>
      </x:c>
      <x:c r="L93" s="24" t="n">
        <x:v>0</x:v>
      </x:c>
      <x:c r="M93" s="24" t="n">
        <x:v>0</x:v>
      </x:c>
    </x:row>
    <x:row r="94" ht="18" customHeight="1">
      <x:c r="A94" t="n">
        <x:v>91</x:v>
      </x:c>
      <x:c r="B94" t="str">
        <x:v>Jagran-III</x:v>
      </x:c>
      <x:c r="C94" t="str">
        <x:v>HPP Candidate</x:v>
      </x:c>
      <x:c r="D94" t="n">
        <x:v>123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v>0</x:v>
      </x:c>
      <x:c r="J94" s="24" t="n">
        <x:v>0</x:v>
      </x:c>
      <x:c r="K94" s="24" t="n">
        <x:v>0</x:v>
      </x:c>
      <x:c r="L94" s="24" t="n">
        <x:v>0</x:v>
      </x:c>
      <x:c r="M94" s="24" t="n">
        <x:v>0</x:v>
      </x:c>
    </x:row>
    <x:row r="95" ht="18" customHeight="1">
      <x:c r="A95" t="n">
        <x:v>92</x:v>
      </x:c>
      <x:c r="B95" t="str">
        <x:v>Jagran-IV</x:v>
      </x:c>
      <x:c r="C95" t="str">
        <x:v>HPP Candidate</x:v>
      </x:c>
      <x:c r="D95" t="n">
        <x:v>123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v>0</x:v>
      </x:c>
      <x:c r="J95" s="24" t="n">
        <x:v>0</x:v>
      </x:c>
      <x:c r="K95" s="24" t="n">
        <x:v>0</x:v>
      </x:c>
      <x:c r="L95" s="24" t="n">
        <x:v>0</x:v>
      </x:c>
      <x:c r="M95" s="24" t="n">
        <x:v>0</x:v>
      </x:c>
    </x:row>
    <x:row r="96" ht="18" customHeight="1">
      <x:c r="A96" t="n">
        <x:v>93</x:v>
      </x:c>
      <x:c r="B96" t="str">
        <x:v>Kaigah</x:v>
      </x:c>
      <x:c r="C96" t="str">
        <x:v>HPP Candidate</x:v>
      </x:c>
      <x:c r="D96" t="n">
        <x:v>123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v>0</x:v>
      </x:c>
      <x:c r="J96" s="24" t="n">
        <x:v>0</x:v>
      </x:c>
      <x:c r="K96" s="24" t="n">
        <x:v>0</x:v>
      </x:c>
      <x:c r="L96" s="24" t="n">
        <x:v>0</x:v>
      </x:c>
      <x:c r="M96" s="24" t="n">
        <x:v>0</x:v>
      </x:c>
    </x:row>
    <x:row r="97" ht="18" customHeight="1">
      <x:c r="A97" t="n">
        <x:v>94</x:v>
      </x:c>
      <x:c r="B97" t="str">
        <x:v>Kalam Asrit</x:v>
      </x:c>
      <x:c r="C97" t="str">
        <x:v>HPP Candidate</x:v>
      </x:c>
      <x:c r="D97" t="n">
        <x:v>123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v>0</x:v>
      </x:c>
      <x:c r="J97" s="24" t="n">
        <x:v>0</x:v>
      </x:c>
      <x:c r="K97" s="24" t="n">
        <x:v>0</x:v>
      </x:c>
      <x:c r="L97" s="24" t="n">
        <x:v>0</x:v>
      </x:c>
      <x:c r="M97" s="24" t="n">
        <x:v>0</x:v>
      </x:c>
    </x:row>
    <x:row r="98" ht="18" customHeight="1">
      <x:c r="A98" t="n">
        <x:v>95</x:v>
      </x:c>
      <x:c r="B98" t="str">
        <x:v>Keyal Khwar</x:v>
      </x:c>
      <x:c r="C98" t="str">
        <x:v>HPP Candidate</x:v>
      </x:c>
      <x:c r="D98" t="n">
        <x:v>123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v>0</x:v>
      </x:c>
      <x:c r="J98" s="24" t="n">
        <x:v>0</x:v>
      </x:c>
      <x:c r="K98" s="24" t="n">
        <x:v>0</x:v>
      </x:c>
      <x:c r="L98" s="24" t="n">
        <x:v>0</x:v>
      </x:c>
      <x:c r="M98" s="24" t="n">
        <x:v>0</x:v>
      </x:c>
    </x:row>
    <x:row r="99" ht="18" customHeight="1">
      <x:c r="A99" t="n">
        <x:v>96</x:v>
      </x:c>
      <x:c r="B99" t="str">
        <x:v>Kohala</x:v>
      </x:c>
      <x:c r="C99" t="str">
        <x:v>HPP Candidate</x:v>
      </x:c>
      <x:c r="D99" t="n">
        <x:v>123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v>0</x:v>
      </x:c>
      <x:c r="J99" s="24" t="n">
        <x:v>0</x:v>
      </x:c>
      <x:c r="K99" s="24" t="n">
        <x:v>0</x:v>
      </x:c>
      <x:c r="L99" s="24" t="n">
        <x:v>0</x:v>
      </x:c>
      <x:c r="M99" s="24" t="n">
        <x:v>0</x:v>
      </x:c>
    </x:row>
    <x:row r="100" ht="18" customHeight="1">
      <x:c r="A100" t="n">
        <x:v>97</x:v>
      </x:c>
      <x:c r="B100" t="str">
        <x:v>Lower Spat Gah</x:v>
      </x:c>
      <x:c r="C100" t="str">
        <x:v>HPP Candidate</x:v>
      </x:c>
      <x:c r="D100" t="n">
        <x:v>123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v>0</x:v>
      </x:c>
      <x:c r="J100" s="24" t="n">
        <x:v>0</x:v>
      </x:c>
      <x:c r="K100" s="24" t="n">
        <x:v>0</x:v>
      </x:c>
      <x:c r="L100" s="24" t="n">
        <x:v>0</x:v>
      </x:c>
      <x:c r="M100" s="24" t="n">
        <x:v>0</x:v>
      </x:c>
    </x:row>
    <x:row r="101" ht="18" customHeight="1">
      <x:c r="A101" t="n">
        <x:v>98</x:v>
      </x:c>
      <x:c r="B101" t="str">
        <x:v>Luat</x:v>
      </x:c>
      <x:c r="C101" t="str">
        <x:v>HPP Candidate</x:v>
      </x:c>
      <x:c r="D101" t="n">
        <x:v>123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v>0</x:v>
      </x:c>
      <x:c r="J101" s="24" t="n">
        <x:v>0</x:v>
      </x:c>
      <x:c r="K101" s="24" t="n">
        <x:v>0</x:v>
      </x:c>
      <x:c r="L101" s="24" t="n">
        <x:v>0</x:v>
      </x:c>
      <x:c r="M101" s="24" t="n">
        <x:v>0</x:v>
      </x:c>
    </x:row>
    <x:row r="102" ht="18" customHeight="1">
      <x:c r="A102" t="n">
        <x:v>99</x:v>
      </x:c>
      <x:c r="B102" t="str">
        <x:v>Madyan</x:v>
      </x:c>
      <x:c r="C102" t="str">
        <x:v>HPP Candidate</x:v>
      </x:c>
      <x:c r="D102" t="n">
        <x:v>123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v>0</x:v>
      </x:c>
      <x:c r="J102" s="24" t="n">
        <x:v>0</x:v>
      </x:c>
      <x:c r="K102" s="24" t="n">
        <x:v>0</x:v>
      </x:c>
      <x:c r="L102" s="24" t="n">
        <x:v>0</x:v>
      </x:c>
      <x:c r="M102" s="24" t="n">
        <x:v>0</x:v>
      </x:c>
    </x:row>
    <x:row r="103" ht="18" customHeight="1">
      <x:c r="A103" t="n">
        <x:v>100</x:v>
      </x:c>
      <x:c r="B103" t="str">
        <x:v>Mahl</x:v>
      </x:c>
      <x:c r="C103" t="str">
        <x:v>HPP Candidate</x:v>
      </x:c>
      <x:c r="D103" t="n">
        <x:v>123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v>0</x:v>
      </x:c>
      <x:c r="J103" s="24" t="n">
        <x:v>0</x:v>
      </x:c>
      <x:c r="K103" s="24" t="n">
        <x:v>0</x:v>
      </x:c>
      <x:c r="L103" s="24" t="n">
        <x:v>0</x:v>
      </x:c>
      <x:c r="M103" s="24" t="n">
        <x:v>0</x:v>
      </x:c>
    </x:row>
    <x:row r="104" ht="18" customHeight="1">
      <x:c r="A104" t="n">
        <x:v>101</x:v>
      </x:c>
      <x:c r="B104" t="str">
        <x:v>Mastuj</x:v>
      </x:c>
      <x:c r="C104" t="str">
        <x:v>HPP Candidate</x:v>
      </x:c>
      <x:c r="D104" t="n">
        <x:v>123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v>0</x:v>
      </x:c>
      <x:c r="J104" s="24" t="n">
        <x:v>0</x:v>
      </x:c>
      <x:c r="K104" s="24" t="n">
        <x:v>0</x:v>
      </x:c>
      <x:c r="L104" s="24" t="n">
        <x:v>0</x:v>
      </x:c>
      <x:c r="M104" s="24" t="n">
        <x:v>0</x:v>
      </x:c>
    </x:row>
    <x:row r="105" ht="18" customHeight="1">
      <x:c r="A105" t="n">
        <x:v>102</x:v>
      </x:c>
      <x:c r="B105" t="str">
        <x:v>Nagdar</x:v>
      </x:c>
      <x:c r="C105" t="str">
        <x:v>HPP Candidate</x:v>
      </x:c>
      <x:c r="D105" t="n">
        <x:v>123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v>0</x:v>
      </x:c>
      <x:c r="J105" s="24" t="n">
        <x:v>0</x:v>
      </x:c>
      <x:c r="K105" s="24" t="n">
        <x:v>0</x:v>
      </x:c>
      <x:c r="L105" s="24" t="n">
        <x:v>0</x:v>
      </x:c>
      <x:c r="M105" s="24" t="n">
        <x:v>0</x:v>
      </x:c>
    </x:row>
    <x:row r="106" ht="18" customHeight="1">
      <x:c r="A106" t="n">
        <x:v>103</x:v>
      </x:c>
      <x:c r="B106" t="str">
        <x:v>Naran</x:v>
      </x:c>
      <x:c r="C106" t="str">
        <x:v>HPP Candidate</x:v>
      </x:c>
      <x:c r="D106" t="n">
        <x:v>123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v>0</x:v>
      </x:c>
      <x:c r="J106" s="24" t="n">
        <x:v>0</x:v>
      </x:c>
      <x:c r="K106" s="24" t="n">
        <x:v>0</x:v>
      </x:c>
      <x:c r="L106" s="24" t="n">
        <x:v>0</x:v>
      </x:c>
      <x:c r="M106" s="24" t="n">
        <x:v>0</x:v>
      </x:c>
    </x:row>
    <x:row r="107" ht="18" customHeight="1">
      <x:c r="A107" t="n">
        <x:v>104</x:v>
      </x:c>
      <x:c r="B107" t="str">
        <x:v>Nila Da Katha</x:v>
      </x:c>
      <x:c r="C107" t="str">
        <x:v>HPP Candidate</x:v>
      </x:c>
      <x:c r="D107" t="n">
        <x:v>123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v>0</x:v>
      </x:c>
      <x:c r="J107" s="24" t="n">
        <x:v>0</x:v>
      </x:c>
      <x:c r="K107" s="24" t="n">
        <x:v>0</x:v>
      </x:c>
      <x:c r="L107" s="24" t="n">
        <x:v>0</x:v>
      </x:c>
      <x:c r="M107" s="24" t="n">
        <x:v>0</x:v>
      </x:c>
    </x:row>
    <x:row r="108" ht="18" customHeight="1">
      <x:c r="A108" t="n">
        <x:v>105</x:v>
      </x:c>
      <x:c r="B108" t="str">
        <x:v>Qadirabad</x:v>
      </x:c>
      <x:c r="C108" t="str">
        <x:v>HPP Candidate</x:v>
      </x:c>
      <x:c r="D108" t="n">
        <x:v>123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v>0</x:v>
      </x:c>
      <x:c r="J108" s="24" t="n">
        <x:v>0</x:v>
      </x:c>
      <x:c r="K108" s="24" t="n">
        <x:v>0</x:v>
      </x:c>
      <x:c r="L108" s="24" t="n">
        <x:v>0</x:v>
      </x:c>
      <x:c r="M108" s="24" t="n">
        <x:v>0</x:v>
      </x:c>
    </x:row>
    <x:row r="109" ht="18" customHeight="1">
      <x:c r="A109" t="n">
        <x:v>106</x:v>
      </x:c>
      <x:c r="B109" t="str">
        <x:v>Rajdhani</x:v>
      </x:c>
      <x:c r="C109" t="str">
        <x:v>HPP Candidate</x:v>
      </x:c>
      <x:c r="D109" t="n">
        <x:v>123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v>0</x:v>
      </x:c>
      <x:c r="J109" s="24" t="n">
        <x:v>0</x:v>
      </x:c>
      <x:c r="K109" s="24" t="n">
        <x:v>0</x:v>
      </x:c>
      <x:c r="L109" s="24" t="n">
        <x:v>0</x:v>
      </x:c>
      <x:c r="M109" s="24" t="n">
        <x:v>0</x:v>
      </x:c>
    </x:row>
    <x:row r="110" ht="18" customHeight="1">
      <x:c r="A110" t="n">
        <x:v>107</x:v>
      </x:c>
      <x:c r="B110" t="str">
        <x:v>Shalfalam</x:v>
      </x:c>
      <x:c r="C110" t="str">
        <x:v>HPP Candidate</x:v>
      </x:c>
      <x:c r="D110" t="n">
        <x:v>123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v>0</x:v>
      </x:c>
      <x:c r="J110" s="24" t="n">
        <x:v>0</x:v>
      </x:c>
      <x:c r="K110" s="24" t="n">
        <x:v>0</x:v>
      </x:c>
      <x:c r="L110" s="24" t="n">
        <x:v>0</x:v>
      </x:c>
      <x:c r="M110" s="24" t="n">
        <x:v>0</x:v>
      </x:c>
    </x:row>
    <x:row r="111" ht="18" customHeight="1">
      <x:c r="A111" t="n">
        <x:v>108</x:v>
      </x:c>
      <x:c r="B111" t="str">
        <x:v>Sharmai</x:v>
      </x:c>
      <x:c r="C111" t="str">
        <x:v>HPP Candidate</x:v>
      </x:c>
      <x:c r="D111" t="n">
        <x:v>123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v>0</x:v>
      </x:c>
      <x:c r="J111" s="24" t="n">
        <x:v>0</x:v>
      </x:c>
      <x:c r="K111" s="24" t="n">
        <x:v>0</x:v>
      </x:c>
      <x:c r="L111" s="24" t="n">
        <x:v>0</x:v>
      </x:c>
      <x:c r="M111" s="24" t="n">
        <x:v>0</x:v>
      </x:c>
    </x:row>
    <x:row r="112" ht="18" customHeight="1">
      <x:c r="A112" t="n">
        <x:v>109</x:v>
      </x:c>
      <x:c r="B112" t="str">
        <x:v>Shigo Kas</x:v>
      </x:c>
      <x:c r="C112" t="str">
        <x:v>HPP Candidate</x:v>
      </x:c>
      <x:c r="D112" t="n">
        <x:v>123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v>0</x:v>
      </x:c>
      <x:c r="J112" s="24" t="n">
        <x:v>0</x:v>
      </x:c>
      <x:c r="K112" s="24" t="n">
        <x:v>0</x:v>
      </x:c>
      <x:c r="L112" s="24" t="n">
        <x:v>0</x:v>
      </x:c>
      <x:c r="M112" s="24" t="n">
        <x:v>0</x:v>
      </x:c>
    </x:row>
    <x:row r="113" ht="18" customHeight="1">
      <x:c r="A113" t="n">
        <x:v>110</x:v>
      </x:c>
      <x:c r="B113" t="str">
        <x:v>Shounter</x:v>
      </x:c>
      <x:c r="C113" t="str">
        <x:v>HPP Candidate</x:v>
      </x:c>
      <x:c r="D113" t="n">
        <x:v>123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v>0</x:v>
      </x:c>
      <x:c r="J113" s="24" t="n">
        <x:v>0</x:v>
      </x:c>
      <x:c r="K113" s="24" t="n">
        <x:v>0</x:v>
      </x:c>
      <x:c r="L113" s="24" t="n">
        <x:v>0</x:v>
      </x:c>
      <x:c r="M113" s="24" t="n">
        <x:v>0</x:v>
      </x:c>
    </x:row>
    <x:row r="114" ht="18" customHeight="1">
      <x:c r="A114" t="n">
        <x:v>111</x:v>
      </x:c>
      <x:c r="B114" t="str">
        <x:v>Soan</x:v>
      </x:c>
      <x:c r="C114" t="str">
        <x:v>HPP Candidate</x:v>
      </x:c>
      <x:c r="D114" t="n">
        <x:v>123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v>0</x:v>
      </x:c>
      <x:c r="J114" s="24" t="n">
        <x:v>0</x:v>
      </x:c>
      <x:c r="K114" s="24" t="n">
        <x:v>0</x:v>
      </x:c>
      <x:c r="L114" s="24" t="n">
        <x:v>0</x:v>
      </x:c>
      <x:c r="M114" s="24" t="n">
        <x:v>0</x:v>
      </x:c>
    </x:row>
    <x:row r="115" ht="18" customHeight="1">
      <x:c r="A115" t="n">
        <x:v>112</x:v>
      </x:c>
      <x:c r="B115" t="str">
        <x:v>Taunsa</x:v>
      </x:c>
      <x:c r="C115" t="str">
        <x:v>HPP Candidate</x:v>
      </x:c>
      <x:c r="D115" t="n">
        <x:v>123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v>0</x:v>
      </x:c>
      <x:c r="J115" s="24" t="n">
        <x:v>0</x:v>
      </x:c>
      <x:c r="K115" s="24" t="n">
        <x:v>0</x:v>
      </x:c>
      <x:c r="L115" s="24" t="n">
        <x:v>0</x:v>
      </x:c>
      <x:c r="M115" s="24" t="n">
        <x:v>0</x:v>
      </x:c>
    </x:row>
    <x:row r="116" ht="18" customHeight="1">
      <x:c r="A116" t="n">
        <x:v>113</x:v>
      </x:c>
      <x:c r="B116" t="str">
        <x:v>Turtonas Uzghor</x:v>
      </x:c>
      <x:c r="C116" t="str">
        <x:v>HPP Candidate</x:v>
      </x:c>
      <x:c r="D116" t="n">
        <x:v>123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v>0</x:v>
      </x:c>
      <x:c r="J116" s="24" t="n">
        <x:v>0</x:v>
      </x:c>
      <x:c r="K116" s="24" t="n">
        <x:v>0</x:v>
      </x:c>
      <x:c r="L116" s="24" t="n">
        <x:v>0</x:v>
      </x:c>
      <x:c r="M116" s="24" t="n">
        <x:v>0</x:v>
      </x:c>
    </x:row>
    <x:row r="117" ht="18" customHeight="1">
      <x:c r="A117" t="n">
        <x:v>114</x:v>
      </x:c>
      <x:c r="B117" t="str">
        <x:v>Allai Khwar</x:v>
      </x:c>
      <x:c r="C117" t="str">
        <x:v>Hydro Existing</x:v>
      </x:c>
      <x:c r="D117" t="n">
        <x:v>123</x:v>
      </x:c>
      <x:c r="E117" s="24" t="n">
        <x:v>44.43</x:v>
      </x:c>
      <x:c r="F117" s="24" t="n">
        <x:v>44.31</x:v>
      </x:c>
      <x:c r="G117" s="24" t="n">
        <x:v>44.43</x:v>
      </x:c>
      <x:c r="H117" s="24" t="n">
        <x:v>44.43</x:v>
      </x:c>
      <x:c r="I117" s="24" t="n">
        <x:v>44.35</x:v>
      </x:c>
      <x:c r="J117" s="24" t="n">
        <x:v>44.22</x:v>
      </x:c>
      <x:c r="K117" s="24" t="n">
        <x:v>43.7</x:v>
      </x:c>
      <x:c r="L117" s="24" t="n">
        <x:v>44.35</x:v>
      </x:c>
      <x:c r="M117" s="24" t="n">
        <x:v>44.35</x:v>
      </x:c>
    </x:row>
    <x:row r="118" ht="18" customHeight="1">
      <x:c r="A118" t="n">
        <x:v>115</x:v>
      </x:c>
      <x:c r="B118" t="str">
        <x:v>Chashma</x:v>
      </x:c>
      <x:c r="C118" t="str">
        <x:v>Hydro Existing</x:v>
      </x:c>
      <x:c r="D118" t="n">
        <x:v>123</x:v>
      </x:c>
      <x:c r="E118" s="24" t="n">
        <x:v>48.91</x:v>
      </x:c>
      <x:c r="F118" s="24" t="n">
        <x:v>48.78</x:v>
      </x:c>
      <x:c r="G118" s="24" t="n">
        <x:v>48.91</x:v>
      </x:c>
      <x:c r="H118" s="24" t="n">
        <x:v>48.91</x:v>
      </x:c>
      <x:c r="I118" s="24" t="n">
        <x:v>48.91</x:v>
      </x:c>
      <x:c r="J118" s="24" t="n">
        <x:v>48.78</x:v>
      </x:c>
      <x:c r="K118" s="24" t="n">
        <x:v>48.91</x:v>
      </x:c>
      <x:c r="L118" s="24" t="n">
        <x:v>48.91</x:v>
      </x:c>
      <x:c r="M118" s="24" t="n">
        <x:v>48.91</x:v>
      </x:c>
    </x:row>
    <x:row r="119" ht="18" customHeight="1">
      <x:c r="A119" t="n">
        <x:v>116</x:v>
      </x:c>
      <x:c r="B119" t="str">
        <x:v>Daral Khwar</x:v>
      </x:c>
      <x:c r="C119" t="str">
        <x:v>Hydro Existing</x:v>
      </x:c>
      <x:c r="D119" t="n">
        <x:v>123</x:v>
      </x:c>
      <x:c r="E119" s="24" t="n">
        <x:v>38.77</x:v>
      </x:c>
      <x:c r="F119" s="24" t="n">
        <x:v>38.66</x:v>
      </x:c>
      <x:c r="G119" s="24" t="n">
        <x:v>38.76</x:v>
      </x:c>
      <x:c r="H119" s="24" t="n">
        <x:v>38.76</x:v>
      </x:c>
      <x:c r="I119" s="24" t="n">
        <x:v>38.76</x:v>
      </x:c>
      <x:c r="J119" s="24" t="n">
        <x:v>38.66</x:v>
      </x:c>
      <x:c r="K119" s="24" t="n">
        <x:v>38.76</x:v>
      </x:c>
      <x:c r="L119" s="24" t="n">
        <x:v>38.76</x:v>
      </x:c>
      <x:c r="M119" s="24" t="n">
        <x:v>38.76</x:v>
      </x:c>
    </x:row>
    <x:row r="120" ht="18" customHeight="1">
      <x:c r="A120" t="n">
        <x:v>117</x:v>
      </x:c>
      <x:c r="B120" t="str">
        <x:v>Dubair Khwar</x:v>
      </x:c>
      <x:c r="C120" t="str">
        <x:v>Hydro Existing</x:v>
      </x:c>
      <x:c r="D120" t="n">
        <x:v>123</x:v>
      </x:c>
      <x:c r="E120" s="24" t="n">
        <x:v>54.44</x:v>
      </x:c>
      <x:c r="F120" s="24" t="n">
        <x:v>54.22</x:v>
      </x:c>
      <x:c r="G120" s="24" t="n">
        <x:v>54.37</x:v>
      </x:c>
      <x:c r="H120" s="24" t="n">
        <x:v>54.08</x:v>
      </x:c>
      <x:c r="I120" s="24" t="n">
        <x:v>54.08</x:v>
      </x:c>
      <x:c r="J120" s="24" t="n">
        <x:v>53.93</x:v>
      </x:c>
      <x:c r="K120" s="24" t="n">
        <x:v>53.74</x:v>
      </x:c>
      <x:c r="L120" s="24" t="n">
        <x:v>53.64</x:v>
      </x:c>
      <x:c r="M120" s="24" t="n">
        <x:v>54.08</x:v>
      </x:c>
    </x:row>
    <x:row r="121" ht="18" customHeight="1">
      <x:c r="A121" t="n">
        <x:v>118</x:v>
      </x:c>
      <x:c r="B121" t="str">
        <x:v>Ghazi Brotha</x:v>
      </x:c>
      <x:c r="C121" t="str">
        <x:v>Hydro Existing</x:v>
      </x:c>
      <x:c r="D121" t="n">
        <x:v>123</x:v>
      </x:c>
      <x:c r="E121" s="24" t="n">
        <x:v>52.78</x:v>
      </x:c>
      <x:c r="F121" s="24" t="n">
        <x:v>52.63</x:v>
      </x:c>
      <x:c r="G121" s="24" t="n">
        <x:v>52.78</x:v>
      </x:c>
      <x:c r="H121" s="24" t="n">
        <x:v>52.78</x:v>
      </x:c>
      <x:c r="I121" s="24" t="n">
        <x:v>52.78</x:v>
      </x:c>
      <x:c r="J121" s="24" t="n">
        <x:v>52.63</x:v>
      </x:c>
      <x:c r="K121" s="24" t="n">
        <x:v>52.78</x:v>
      </x:c>
      <x:c r="L121" s="24" t="n">
        <x:v>52.78</x:v>
      </x:c>
      <x:c r="M121" s="24" t="n">
        <x:v>52.78</x:v>
      </x:c>
    </x:row>
    <x:row r="122" ht="18" customHeight="1">
      <x:c r="A122" t="n">
        <x:v>119</x:v>
      </x:c>
      <x:c r="B122" t="str">
        <x:v>Golen Gol</x:v>
      </x:c>
      <x:c r="C122" t="str">
        <x:v>Hydro Existing</x:v>
      </x:c>
      <x:c r="D122" t="n">
        <x:v>123</x:v>
      </x:c>
      <x:c r="E122" s="24" t="n">
        <x:v>9.15</x:v>
      </x:c>
      <x:c r="F122" s="24" t="n">
        <x:v>9.12</x:v>
      </x:c>
      <x:c r="G122" s="24" t="n">
        <x:v>9.15</x:v>
      </x:c>
      <x:c r="H122" s="24" t="n">
        <x:v>9.15</x:v>
      </x:c>
      <x:c r="I122" s="24" t="n">
        <x:v>9.15</x:v>
      </x:c>
      <x:c r="J122" s="24" t="n">
        <x:v>9.05</x:v>
      </x:c>
      <x:c r="K122" s="24" t="n">
        <x:v>8.85</x:v>
      </x:c>
      <x:c r="L122" s="24" t="n">
        <x:v>8.23</x:v>
      </x:c>
      <x:c r="M122" s="24" t="n">
        <x:v>8.18</x:v>
      </x:c>
    </x:row>
    <x:row r="123" ht="18" customHeight="1">
      <x:c r="A123" t="n">
        <x:v>120</x:v>
      </x:c>
      <x:c r="B123" t="str">
        <x:v>Gulpur</x:v>
      </x:c>
      <x:c r="C123" t="str">
        <x:v>Hydro Existing</x:v>
      </x:c>
      <x:c r="D123" t="n">
        <x:v>123</x:v>
      </x:c>
      <x:c r="E123" s="24" t="n">
        <x:v>28.92</x:v>
      </x:c>
      <x:c r="F123" s="24" t="n">
        <x:v>28.84</x:v>
      </x:c>
      <x:c r="G123" s="24" t="n">
        <x:v>28.92</x:v>
      </x:c>
      <x:c r="H123" s="24" t="n">
        <x:v>28.92</x:v>
      </x:c>
      <x:c r="I123" s="24" t="n">
        <x:v>28.92</x:v>
      </x:c>
      <x:c r="J123" s="24" t="n">
        <x:v>28.84</x:v>
      </x:c>
      <x:c r="K123" s="24" t="n">
        <x:v>28.92</x:v>
      </x:c>
      <x:c r="L123" s="24" t="n">
        <x:v>28.92</x:v>
      </x:c>
      <x:c r="M123" s="24" t="n">
        <x:v>28.92</x:v>
      </x:c>
    </x:row>
    <x:row r="124" ht="18" customHeight="1">
      <x:c r="A124" t="n">
        <x:v>121</x:v>
      </x:c>
      <x:c r="B124" t="str">
        <x:v>Jagran-I</x:v>
      </x:c>
      <x:c r="C124" t="str">
        <x:v>Hydro Existing</x:v>
      </x:c>
      <x:c r="D124" t="n">
        <x:v>124</x:v>
      </x:c>
      <x:c r="E124" s="24" t="n">
        <x:v>49.49</x:v>
      </x:c>
      <x:c r="F124" s="24" t="n">
        <x:v>49.35</x:v>
      </x:c>
      <x:c r="G124" s="24" t="n">
        <x:v>49.49</x:v>
      </x:c>
      <x:c r="H124" s="24" t="n">
        <x:v>49.49</x:v>
      </x:c>
      <x:c r="I124" s="24" t="n">
        <x:v>49.49</x:v>
      </x:c>
      <x:c r="J124" s="24" t="n">
        <x:v>49.27</x:v>
      </x:c>
      <x:c r="K124" s="24" t="n">
        <x:v>48.26</x:v>
      </x:c>
      <x:c r="L124" s="24" t="n">
        <x:v>46.88</x:v>
      </x:c>
      <x:c r="M124" s="24" t="n">
        <x:v>46.7</x:v>
      </x:c>
    </x:row>
    <x:row r="125" ht="18" customHeight="1">
      <x:c r="A125" t="n">
        <x:v>122</x:v>
      </x:c>
      <x:c r="B125" t="str">
        <x:v>Jinnah</x:v>
      </x:c>
      <x:c r="C125" t="str">
        <x:v>Hydro Existing</x:v>
      </x:c>
      <x:c r="D125" t="n">
        <x:v>124</x:v>
      </x:c>
      <x:c r="E125" s="24" t="n">
        <x:v>25.74</x:v>
      </x:c>
      <x:c r="F125" s="24" t="n">
        <x:v>25.67</x:v>
      </x:c>
      <x:c r="G125" s="24" t="n">
        <x:v>25.74</x:v>
      </x:c>
      <x:c r="H125" s="24" t="n">
        <x:v>25.74</x:v>
      </x:c>
      <x:c r="I125" s="24" t="n">
        <x:v>25.74</x:v>
      </x:c>
      <x:c r="J125" s="24" t="n">
        <x:v>25.67</x:v>
      </x:c>
      <x:c r="K125" s="24" t="n">
        <x:v>25.74</x:v>
      </x:c>
      <x:c r="L125" s="24" t="n">
        <x:v>25.74</x:v>
      </x:c>
      <x:c r="M125" s="24" t="n">
        <x:v>25.74</x:v>
      </x:c>
    </x:row>
    <x:row r="126" ht="18" customHeight="1">
      <x:c r="A126" t="n">
        <x:v>123</x:v>
      </x:c>
      <x:c r="B126" t="str">
        <x:v>Karot</x:v>
      </x:c>
      <x:c r="C126" t="str">
        <x:v>Hydro Existing</x:v>
      </x:c>
      <x:c r="D126" t="n">
        <x:v>124</x:v>
      </x:c>
      <x:c r="E126" s="24" t="n">
        <x:v>45.37</x:v>
      </x:c>
      <x:c r="F126" s="24" t="n">
        <x:v>45.36</x:v>
      </x:c>
      <x:c r="G126" s="24" t="n">
        <x:v>45.48</x:v>
      </x:c>
      <x:c r="H126" s="24" t="n">
        <x:v>45.46</x:v>
      </x:c>
      <x:c r="I126" s="24" t="n">
        <x:v>45.41</x:v>
      </x:c>
      <x:c r="J126" s="24" t="n">
        <x:v>45.25</x:v>
      </x:c>
      <x:c r="K126" s="24" t="n">
        <x:v>45.37</x:v>
      </x:c>
      <x:c r="L126" s="24" t="n">
        <x:v>45.35</x:v>
      </x:c>
      <x:c r="M126" s="24" t="n">
        <x:v>45.37</x:v>
      </x:c>
    </x:row>
    <x:row r="127" ht="18" customHeight="1">
      <x:c r="A127" t="n">
        <x:v>124</x:v>
      </x:c>
      <x:c r="B127" t="str">
        <x:v>Khan Khwar</x:v>
      </x:c>
      <x:c r="C127" t="str">
        <x:v>Hydro Existing</x:v>
      </x:c>
      <x:c r="D127" t="n">
        <x:v>124</x:v>
      </x:c>
      <x:c r="E127" s="24" t="n">
        <x:v>40.22</x:v>
      </x:c>
      <x:c r="F127" s="24" t="n">
        <x:v>40.11</x:v>
      </x:c>
      <x:c r="G127" s="24" t="n">
        <x:v>40.22</x:v>
      </x:c>
      <x:c r="H127" s="24" t="n">
        <x:v>40.22</x:v>
      </x:c>
      <x:c r="I127" s="24" t="n">
        <x:v>40.22</x:v>
      </x:c>
      <x:c r="J127" s="24" t="n">
        <x:v>40.11</x:v>
      </x:c>
      <x:c r="K127" s="24" t="n">
        <x:v>39.76</x:v>
      </x:c>
      <x:c r="L127" s="24" t="n">
        <x:v>40.22</x:v>
      </x:c>
      <x:c r="M127" s="24" t="n">
        <x:v>40.22</x:v>
      </x:c>
    </x:row>
    <x:row r="128" ht="18" customHeight="1">
      <x:c r="A128" t="n">
        <x:v>125</x:v>
      </x:c>
      <x:c r="B128" t="str">
        <x:v>Malakand-III</x:v>
      </x:c>
      <x:c r="C128" t="str">
        <x:v>Hydro Existing</x:v>
      </x:c>
      <x:c r="D128" t="n">
        <x:v>124</x:v>
      </x:c>
      <x:c r="E128" s="24" t="n">
        <x:v>54.04</x:v>
      </x:c>
      <x:c r="F128" s="24" t="n">
        <x:v>53.89</x:v>
      </x:c>
      <x:c r="G128" s="24" t="n">
        <x:v>53.89</x:v>
      </x:c>
      <x:c r="H128" s="24" t="n">
        <x:v>53.89</x:v>
      </x:c>
      <x:c r="I128" s="24" t="n">
        <x:v>52.88</x:v>
      </x:c>
      <x:c r="J128" s="24" t="n">
        <x:v>49.96</x:v>
      </x:c>
      <x:c r="K128" s="24" t="n">
        <x:v>45.07</x:v>
      </x:c>
      <x:c r="L128" s="24" t="n">
        <x:v>44.54</x:v>
      </x:c>
      <x:c r="M128" s="24" t="n">
        <x:v>45.43</x:v>
      </x:c>
    </x:row>
    <x:row r="129" ht="18" customHeight="1">
      <x:c r="A129" t="n">
        <x:v>126</x:v>
      </x:c>
      <x:c r="B129" t="str">
        <x:v>Mangla</x:v>
      </x:c>
      <x:c r="C129" t="str">
        <x:v>Hydro Existing</x:v>
      </x:c>
      <x:c r="D129" t="n">
        <x:v>124</x:v>
      </x:c>
      <x:c r="E129" s="24" t="n">
        <x:v>62.49</x:v>
      </x:c>
      <x:c r="F129" s="24" t="n">
        <x:v>61.5</x:v>
      </x:c>
      <x:c r="G129" s="24" t="n">
        <x:v>55.12</x:v>
      </x:c>
      <x:c r="H129" s="24" t="n">
        <x:v>54.51</x:v>
      </x:c>
      <x:c r="I129" s="24" t="n">
        <x:v>54.42</x:v>
      </x:c>
      <x:c r="J129" s="24" t="n">
        <x:v>54.34</x:v>
      </x:c>
      <x:c r="K129" s="24" t="n">
        <x:v>54.34</x:v>
      </x:c>
      <x:c r="L129" s="24" t="n">
        <x:v>54.42</x:v>
      </x:c>
      <x:c r="M129" s="24" t="n">
        <x:v>54.51</x:v>
      </x:c>
    </x:row>
    <x:row r="130" ht="18" customHeight="1">
      <x:c r="A130" t="n">
        <x:v>127</x:v>
      </x:c>
      <x:c r="B130" t="str">
        <x:v>Neelum Jehlum</x:v>
      </x:c>
      <x:c r="C130" t="str">
        <x:v>Hydro Existing</x:v>
      </x:c>
      <x:c r="D130" t="n">
        <x:v>124</x:v>
      </x:c>
      <x:c r="E130" s="24" t="n">
        <x:v>53.48</x:v>
      </x:c>
      <x:c r="F130" s="24" t="n">
        <x:v>53.33</x:v>
      </x:c>
      <x:c r="G130" s="24" t="n">
        <x:v>53.44</x:v>
      </x:c>
      <x:c r="H130" s="24" t="n">
        <x:v>53.44</x:v>
      </x:c>
      <x:c r="I130" s="24" t="n">
        <x:v>53.44</x:v>
      </x:c>
      <x:c r="J130" s="24" t="n">
        <x:v>53.33</x:v>
      </x:c>
      <x:c r="K130" s="24" t="n">
        <x:v>53.44</x:v>
      </x:c>
      <x:c r="L130" s="24" t="n">
        <x:v>53.44</x:v>
      </x:c>
      <x:c r="M130" s="24" t="n">
        <x:v>53.44</x:v>
      </x:c>
    </x:row>
    <x:row r="131" ht="18" customHeight="1">
      <x:c r="A131" t="n">
        <x:v>128</x:v>
      </x:c>
      <x:c r="B131" t="str">
        <x:v>New Bong</x:v>
      </x:c>
      <x:c r="C131" t="str">
        <x:v>Hydro Existing</x:v>
      </x:c>
      <x:c r="D131" t="n">
        <x:v>124</x:v>
      </x:c>
      <x:c r="E131" s="24" t="n">
        <x:v>55.49</x:v>
      </x:c>
      <x:c r="F131" s="24" t="n">
        <x:v>55.34</x:v>
      </x:c>
      <x:c r="G131" s="24" t="n">
        <x:v>55.49</x:v>
      </x:c>
      <x:c r="H131" s="24" t="n">
        <x:v>55.49</x:v>
      </x:c>
      <x:c r="I131" s="24" t="n">
        <x:v>55.49</x:v>
      </x:c>
      <x:c r="J131" s="24" t="n">
        <x:v>55.34</x:v>
      </x:c>
      <x:c r="K131" s="24" t="n">
        <x:v>55.49</x:v>
      </x:c>
      <x:c r="L131" s="24" t="n">
        <x:v>55.49</x:v>
      </x:c>
      <x:c r="M131" s="24" t="n">
        <x:v>55.49</x:v>
      </x:c>
    </x:row>
    <x:row r="132" ht="18" customHeight="1">
      <x:c r="A132" t="n">
        <x:v>129</x:v>
      </x:c>
      <x:c r="B132" t="str">
        <x:v>Patrind</x:v>
      </x:c>
      <x:c r="C132" t="str">
        <x:v>Hydro Existing</x:v>
      </x:c>
      <x:c r="D132" t="n">
        <x:v>124</x:v>
      </x:c>
      <x:c r="E132" s="24" t="n">
        <x:v>43.76</x:v>
      </x:c>
      <x:c r="F132" s="24" t="n">
        <x:v>43.64</x:v>
      </x:c>
      <x:c r="G132" s="24" t="n">
        <x:v>43.76</x:v>
      </x:c>
      <x:c r="H132" s="24" t="n">
        <x:v>43.76</x:v>
      </x:c>
      <x:c r="I132" s="24" t="n">
        <x:v>43.76</x:v>
      </x:c>
      <x:c r="J132" s="24" t="n">
        <x:v>43.64</x:v>
      </x:c>
      <x:c r="K132" s="24" t="n">
        <x:v>43.76</x:v>
      </x:c>
      <x:c r="L132" s="24" t="n">
        <x:v>43.76</x:v>
      </x:c>
      <x:c r="M132" s="24" t="n">
        <x:v>43.76</x:v>
      </x:c>
    </x:row>
    <x:row r="133" ht="18" customHeight="1">
      <x:c r="A133" t="n">
        <x:v>130</x:v>
      </x:c>
      <x:c r="B133" t="str">
        <x:v>Small Hydro</x:v>
      </x:c>
      <x:c r="C133" t="str">
        <x:v>Hydro Existing</x:v>
      </x:c>
      <x:c r="D133" t="n">
        <x:v>124</x:v>
      </x:c>
      <x:c r="E133" s="24" t="n">
        <x:v>45.59</x:v>
      </x:c>
      <x:c r="F133" s="24" t="n">
        <x:v>45.46</x:v>
      </x:c>
      <x:c r="G133" s="24" t="n">
        <x:v>45.59</x:v>
      </x:c>
      <x:c r="H133" s="24" t="n">
        <x:v>45.59</x:v>
      </x:c>
      <x:c r="I133" s="24" t="n">
        <x:v>45.59</x:v>
      </x:c>
      <x:c r="J133" s="24" t="n">
        <x:v>45.46</x:v>
      </x:c>
      <x:c r="K133" s="24" t="n">
        <x:v>45.59</x:v>
      </x:c>
      <x:c r="L133" s="24" t="n">
        <x:v>45.59</x:v>
      </x:c>
      <x:c r="M133" s="24" t="n">
        <x:v>45.59</x:v>
      </x:c>
    </x:row>
    <x:row r="134" ht="18" customHeight="1">
      <x:c r="A134" t="n">
        <x:v>131</x:v>
      </x:c>
      <x:c r="B134" t="str">
        <x:v>Suki Kinari</x:v>
      </x:c>
      <x:c r="C134" t="str">
        <x:v>Hydro Existing</x:v>
      </x:c>
      <x:c r="D134" t="n">
        <x:v>124</x:v>
      </x:c>
      <x:c r="E134" s="24" t="n">
        <x:v>51.17</x:v>
      </x:c>
      <x:c r="F134" s="24" t="n">
        <x:v>51.03</x:v>
      </x:c>
      <x:c r="G134" s="24" t="n">
        <x:v>51.17</x:v>
      </x:c>
      <x:c r="H134" s="24" t="n">
        <x:v>51.04</x:v>
      </x:c>
      <x:c r="I134" s="24" t="n">
        <x:v>51.03</x:v>
      </x:c>
      <x:c r="J134" s="24" t="n">
        <x:v>50.9</x:v>
      </x:c>
      <x:c r="K134" s="24" t="n">
        <x:v>51.03</x:v>
      </x:c>
      <x:c r="L134" s="24" t="n">
        <x:v>51.03</x:v>
      </x:c>
      <x:c r="M134" s="24" t="n">
        <x:v>51.06</x:v>
      </x:c>
    </x:row>
    <x:row r="135" ht="18" customHeight="1">
      <x:c r="A135" t="n">
        <x:v>132</x:v>
      </x:c>
      <x:c r="B135" t="str">
        <x:v>Tarbela 1-14</x:v>
      </x:c>
      <x:c r="C135" t="str">
        <x:v>Hydro Existing</x:v>
      </x:c>
      <x:c r="D135" t="n">
        <x:v>124</x:v>
      </x:c>
      <x:c r="E135" s="24" t="n">
        <x:v>38.23</x:v>
      </x:c>
      <x:c r="F135" s="24" t="n">
        <x:v>38.13</x:v>
      </x:c>
      <x:c r="G135" s="24" t="n">
        <x:v>38.23</x:v>
      </x:c>
      <x:c r="H135" s="24" t="n">
        <x:v>38.23</x:v>
      </x:c>
      <x:c r="I135" s="24" t="n">
        <x:v>38.23</x:v>
      </x:c>
      <x:c r="J135" s="24" t="n">
        <x:v>38.13</x:v>
      </x:c>
      <x:c r="K135" s="24" t="n">
        <x:v>38.23</x:v>
      </x:c>
      <x:c r="L135" s="24" t="n">
        <x:v>38.23</x:v>
      </x:c>
      <x:c r="M135" s="24" t="n">
        <x:v>38.23</x:v>
      </x:c>
    </x:row>
    <x:row r="136" ht="18" customHeight="1">
      <x:c r="A136" t="n">
        <x:v>133</x:v>
      </x:c>
      <x:c r="B136" t="str">
        <x:v>Tarbela_Ext_4</x:v>
      </x:c>
      <x:c r="C136" t="str">
        <x:v>Hydro Existing</x:v>
      </x:c>
      <x:c r="D136" t="n">
        <x:v>124</x:v>
      </x:c>
      <x:c r="E136" s="24" t="n">
        <x:v>30.33</x:v>
      </x:c>
      <x:c r="F136" s="24" t="n">
        <x:v>30.25</x:v>
      </x:c>
      <x:c r="G136" s="24" t="n">
        <x:v>30.33</x:v>
      </x:c>
      <x:c r="H136" s="24" t="n">
        <x:v>30.33</x:v>
      </x:c>
      <x:c r="I136" s="24" t="n">
        <x:v>30.33</x:v>
      </x:c>
      <x:c r="J136" s="24" t="n">
        <x:v>30.25</x:v>
      </x:c>
      <x:c r="K136" s="24" t="n">
        <x:v>30.33</x:v>
      </x:c>
      <x:c r="L136" s="24" t="n">
        <x:v>30.33</x:v>
      </x:c>
      <x:c r="M136" s="24" t="n">
        <x:v>30.33</x:v>
      </x:c>
    </x:row>
    <x:row r="137" ht="18" customHeight="1">
      <x:c r="A137" t="n">
        <x:v>134</x:v>
      </x:c>
      <x:c r="B137" t="str">
        <x:v>Warsak</x:v>
      </x:c>
      <x:c r="C137" t="str">
        <x:v>Hydro Existing</x:v>
      </x:c>
      <x:c r="D137" t="n">
        <x:v>124</x:v>
      </x:c>
      <x:c r="E137" s="24" t="n">
        <x:v>50.63</x:v>
      </x:c>
      <x:c r="F137" s="24" t="n">
        <x:v>50.49</x:v>
      </x:c>
      <x:c r="G137" s="24" t="n">
        <x:v>50.63</x:v>
      </x:c>
      <x:c r="H137" s="24" t="n">
        <x:v>50.63</x:v>
      </x:c>
      <x:c r="I137" s="24" t="n">
        <x:v>50.63</x:v>
      </x:c>
      <x:c r="J137" s="24" t="n">
        <x:v>50.49</x:v>
      </x:c>
      <x:c r="K137" s="24" t="n">
        <x:v>50.63</x:v>
      </x:c>
      <x:c r="L137" s="24" t="n">
        <x:v>50.63</x:v>
      </x:c>
      <x:c r="M137" s="24" t="n">
        <x:v>50.63</x:v>
      </x:c>
    </x:row>
    <x:row r="138" ht="18" customHeight="1">
      <x:c r="A138" t="n">
        <x:v>135</x:v>
      </x:c>
      <x:c r="B138" t="str">
        <x:v>Engro_Qadirpur</x:v>
      </x:c>
      <x:c r="C138" t="str">
        <x:v>CCGT_Gas</x:v>
      </x:c>
      <x:c r="D138" t="n">
        <x:v>124</x:v>
      </x:c>
      <x:c r="E138" s="24" t="n">
        <x:v>28.01</x:v>
      </x:c>
      <x:c r="F138" s="24" t="n">
        <x:v>14.87</x:v>
      </x:c>
      <x:c r="G138" s="24" t="n">
        <x:v>11.1</x:v>
      </x:c>
      <x:c r="H138" s="24" t="n">
        <x:v>11.73</x:v>
      </x:c>
      <x:c r="I138" s="24" t="n">
        <x:v>11.93</x:v>
      </x:c>
      <x:c r="J138" s="24" t="n">
        <x:v>9.33</x:v>
      </x:c>
      <x:c r="K138" s="24" t="n">
        <x:v>9.45</x:v>
      </x:c>
      <x:c r="L138" s="24" t="n">
        <x:v>7.22</x:v>
      </x:c>
      <x:c r="M138" s="24" t="n">
        <x:v>4.12</x:v>
      </x:c>
    </x:row>
    <x:row r="139" ht="18" customHeight="1">
      <x:c r="A139" t="n">
        <x:v>136</x:v>
      </x:c>
      <x:c r="B139" t="str">
        <x:v>Foundation</x:v>
      </x:c>
      <x:c r="C139" t="str">
        <x:v>CCGT_Gas</x:v>
      </x:c>
      <x:c r="D139" t="n">
        <x:v>124</x:v>
      </x:c>
      <x:c r="E139" s="24" t="n">
        <x:v>76.27</x:v>
      </x:c>
      <x:c r="F139" s="24" t="n">
        <x:v>53.66</x:v>
      </x:c>
      <x:c r="G139" s="24" t="n">
        <x:v>53.66</x:v>
      </x:c>
      <x:c r="H139" s="24" t="n">
        <x:v>53.66</x:v>
      </x:c>
      <x:c r="I139" s="24" t="n">
        <x:v>68.72</x:v>
      </x:c>
      <x:c r="J139" s="24" t="n">
        <x:v>53.66</x:v>
      </x:c>
      <x:c r="K139" s="24" t="n">
        <x:v>53.65</x:v>
      </x:c>
      <x:c r="L139" s="24" t="n">
        <x:v>53.66</x:v>
      </x:c>
      <x:c r="M139" s="24" t="n">
        <x:v>53.66</x:v>
      </x:c>
    </x:row>
    <x:row r="140" ht="18" customHeight="1">
      <x:c r="A140" t="n">
        <x:v>137</x:v>
      </x:c>
      <x:c r="B140" t="str">
        <x:v>Guddu-V (747)</x:v>
      </x:c>
      <x:c r="C140" t="str">
        <x:v>CCGT_Gas</x:v>
      </x:c>
      <x:c r="D140" t="n">
        <x:v>124</x:v>
      </x:c>
      <x:c r="E140" s="24" t="n">
        <x:v>78.47</x:v>
      </x:c>
      <x:c r="F140" s="24" t="n">
        <x:v>47.86</x:v>
      </x:c>
      <x:c r="G140" s="24" t="n">
        <x:v>4.58</x:v>
      </x:c>
      <x:c r="H140" s="24" t="n">
        <x:v>27.17</x:v>
      </x:c>
      <x:c r="I140" s="24" t="n">
        <x:v>68.24</x:v>
      </x:c>
      <x:c r="J140" s="24" t="n">
        <x:v>15.73</x:v>
      </x:c>
      <x:c r="K140" s="24" t="n">
        <x:v>36.68</x:v>
      </x:c>
      <x:c r="L140" s="24" t="n">
        <x:v>21.97</x:v>
      </x:c>
      <x:c r="M140" s="24" t="n">
        <x:v>22.44</x:v>
      </x:c>
    </x:row>
    <x:row r="141" ht="18" customHeight="1">
      <x:c r="A141" t="n">
        <x:v>138</x:v>
      </x:c>
      <x:c r="B141" t="str">
        <x:v>Liberty</x:v>
      </x:c>
      <x:c r="C141" t="str">
        <x:v>CCGT_Gas</x:v>
      </x:c>
      <x:c r="D141" t="n">
        <x:v>124</x:v>
      </x:c>
      <x:c r="E141" s="24" t="n">
        <x:v>37.54</x:v>
      </x:c>
      <x:c r="F141" s="24" t="n">
        <x:v>9.38</x:v>
      </x:c>
      <x:c r="G141" s="24" t="n">
        <x:v>0</x:v>
      </x:c>
      <x:c r="H141" s="24" t="n">
        <x:v>0</x:v>
      </x:c>
      <x:c r="I141" s="24" t="n">
        <x:v>0</x:v>
      </x:c>
      <x:c r="J141" s="24" t="n">
        <x:v>0</x:v>
      </x:c>
      <x:c r="K141" s="24" t="n">
        <x:v>0</x:v>
      </x:c>
      <x:c r="L141" s="24" t="n">
        <x:v>0</x:v>
      </x:c>
      <x:c r="M141" s="24" t="n">
        <x:v>0</x:v>
      </x:c>
    </x:row>
    <x:row r="142" ht="18" customHeight="1">
      <x:c r="A142" t="n">
        <x:v>139</x:v>
      </x:c>
      <x:c r="B142" t="str">
        <x:v>Uch</x:v>
      </x:c>
      <x:c r="C142" t="str">
        <x:v>CCGT_Gas</x:v>
      </x:c>
      <x:c r="D142" t="n">
        <x:v>124</x:v>
      </x:c>
      <x:c r="E142" s="24" t="n">
        <x:v>67.9</x:v>
      </x:c>
      <x:c r="F142" s="24" t="n">
        <x:v>38</x:v>
      </x:c>
      <x:c r="G142" s="24" t="n">
        <x:v>38</x:v>
      </x:c>
      <x:c r="H142" s="24" t="n">
        <x:v>38</x:v>
      </x:c>
      <x:c r="I142" s="24" t="n">
        <x:v>9.5</x:v>
      </x:c>
      <x:c r="J142" s="24" t="n">
        <x:v>0</x:v>
      </x:c>
      <x:c r="K142" s="24" t="n">
        <x:v>0</x:v>
      </x:c>
      <x:c r="L142" s="24" t="n">
        <x:v>0</x:v>
      </x:c>
      <x:c r="M142" s="24" t="n">
        <x:v>0</x:v>
      </x:c>
    </x:row>
    <x:row r="143" ht="18" customHeight="1">
      <x:c r="A143" t="n">
        <x:v>140</x:v>
      </x:c>
      <x:c r="B143" t="str">
        <x:v>Uch-II</x:v>
      </x:c>
      <x:c r="C143" t="str">
        <x:v>CCGT_Gas</x:v>
      </x:c>
      <x:c r="D143" t="n">
        <x:v>124</x:v>
      </x:c>
      <x:c r="E143" s="24" t="n">
        <x:v>55.7</x:v>
      </x:c>
      <x:c r="F143" s="24" t="n">
        <x:v>55.7</x:v>
      </x:c>
      <x:c r="G143" s="24" t="n">
        <x:v>55.7</x:v>
      </x:c>
      <x:c r="H143" s="24" t="n">
        <x:v>55.7</x:v>
      </x:c>
      <x:c r="I143" s="24" t="n">
        <x:v>55.7</x:v>
      </x:c>
      <x:c r="J143" s="24" t="n">
        <x:v>55.7</x:v>
      </x:c>
      <x:c r="K143" s="24" t="n">
        <x:v>55.7</x:v>
      </x:c>
      <x:c r="L143" s="24" t="n">
        <x:v>55.7</x:v>
      </x:c>
      <x:c r="M143" s="24" t="n">
        <x:v>55.7</x:v>
      </x:c>
    </x:row>
    <x:row r="144" ht="18" customHeight="1">
      <x:c r="A144" t="n">
        <x:v>141</x:v>
      </x:c>
      <x:c r="B144" t="str">
        <x:v>SNPC-I</x:v>
      </x:c>
      <x:c r="C144" t="str">
        <x:v>KE_CCGT_Gas</x:v>
      </x:c>
      <x:c r="D144" t="n">
        <x:v>124</x:v>
      </x:c>
      <x:c r="E144" s="24" t="n">
        <x:v>69.38</x:v>
      </x:c>
      <x:c r="F144" s="24" t="n">
        <x:v>34.11</x:v>
      </x:c>
      <x:c r="G144" s="24" t="n">
        <x:v>7.63</x:v>
      </x:c>
      <x:c r="H144" s="24" t="n">
        <x:v>9</x:v>
      </x:c>
      <x:c r="I144" s="24" t="n">
        <x:v>16.84</x:v>
      </x:c>
      <x:c r="J144" s="24" t="n">
        <x:v>10.87</x:v>
      </x:c>
      <x:c r="K144" s="24" t="n">
        <x:v>31.04</x:v>
      </x:c>
      <x:c r="L144" s="24" t="n">
        <x:v>23.93</x:v>
      </x:c>
      <x:c r="M144" s="24" t="n">
        <x:v>22.74</x:v>
      </x:c>
    </x:row>
    <x:row r="145" ht="18" customHeight="1">
      <x:c r="A145" t="n">
        <x:v>142</x:v>
      </x:c>
      <x:c r="B145" t="str">
        <x:v>SNPC-II</x:v>
      </x:c>
      <x:c r="C145" t="str">
        <x:v>KE_CCGT_Gas</x:v>
      </x:c>
      <x:c r="D145" t="n">
        <x:v>124</x:v>
      </x:c>
      <x:c r="E145" s="24" t="n">
        <x:v>71.92</x:v>
      </x:c>
      <x:c r="F145" s="24" t="n">
        <x:v>37.05</x:v>
      </x:c>
      <x:c r="G145" s="24" t="n">
        <x:v>8.18</x:v>
      </x:c>
      <x:c r="H145" s="24" t="n">
        <x:v>9.51</x:v>
      </x:c>
      <x:c r="I145" s="24" t="n">
        <x:v>17.61</x:v>
      </x:c>
      <x:c r="J145" s="24" t="n">
        <x:v>12.35</x:v>
      </x:c>
      <x:c r="K145" s="24" t="n">
        <x:v>31.39</x:v>
      </x:c>
      <x:c r="L145" s="24" t="n">
        <x:v>25.42</x:v>
      </x:c>
      <x:c r="M145" s="24" t="n">
        <x:v>23.36</x:v>
      </x:c>
    </x:row>
    <x:row r="146" ht="18" customHeight="1">
      <x:c r="A146" t="n">
        <x:v>143</x:v>
      </x:c>
      <x:c r="B146" t="str">
        <x:v>AGL</x:v>
      </x:c>
      <x:c r="C146" t="str">
        <x:v>DG_RFO</x:v>
      </x:c>
      <x:c r="D146" t="n">
        <x:v>124</x:v>
      </x:c>
      <x:c r="E146" s="24" t="n">
        <x:v>14.23</x:v>
      </x:c>
      <x:c r="F146" s="24" t="n">
        <x:v>14.23</x:v>
      </x:c>
      <x:c r="G146" s="24" t="n">
        <x:v>0</x:v>
      </x:c>
      <x:c r="H146" s="24" t="n">
        <x:v>0</x:v>
      </x:c>
      <x:c r="I146" s="24" t="n">
        <x:v>0</x:v>
      </x:c>
      <x:c r="J146" s="24" t="n">
        <x:v>0</x:v>
      </x:c>
      <x:c r="K146" s="24" t="n">
        <x:v>0</x:v>
      </x:c>
      <x:c r="L146" s="24" t="n">
        <x:v>0</x:v>
      </x:c>
      <x:c r="M146" s="24" t="n">
        <x:v>0</x:v>
      </x:c>
    </x:row>
    <x:row r="147" ht="18" customHeight="1">
      <x:c r="A147" t="n">
        <x:v>144</x:v>
      </x:c>
      <x:c r="B147" t="str">
        <x:v>HuB N</x:v>
      </x:c>
      <x:c r="C147" t="str">
        <x:v>DG_RFO</x:v>
      </x:c>
      <x:c r="D147" t="n">
        <x:v>124</x:v>
      </x:c>
      <x:c r="E147" s="24" t="n">
        <x:v>15.06</x:v>
      </x:c>
      <x:c r="F147" s="24" t="n">
        <x:v>15.06</x:v>
      </x:c>
      <x:c r="G147" s="24" t="n">
        <x:v>0</x:v>
      </x:c>
      <x:c r="H147" s="24" t="n">
        <x:v>0</x:v>
      </x:c>
      <x:c r="I147" s="24" t="n">
        <x:v>0</x:v>
      </x:c>
      <x:c r="J147" s="24" t="n">
        <x:v>0</x:v>
      </x:c>
      <x:c r="K147" s="24" t="n">
        <x:v>0</x:v>
      </x:c>
      <x:c r="L147" s="24" t="n">
        <x:v>0</x:v>
      </x:c>
      <x:c r="M147" s="24" t="n">
        <x:v>0</x:v>
      </x:c>
    </x:row>
    <x:row r="148" ht="18" customHeight="1">
      <x:c r="A148" t="n">
        <x:v>145</x:v>
      </x:c>
      <x:c r="B148" t="str">
        <x:v>Kohinoor</x:v>
      </x:c>
      <x:c r="C148" t="str">
        <x:v>DG_RFO</x:v>
      </x:c>
      <x:c r="D148" t="n">
        <x:v>124</x:v>
      </x:c>
      <x:c r="E148" s="24" t="n">
        <x:v>13.46</x:v>
      </x:c>
      <x:c r="F148" s="24" t="n">
        <x:v>0</x:v>
      </x:c>
      <x:c r="G148" s="24" t="n">
        <x:v>0</x:v>
      </x:c>
      <x:c r="H148" s="24" t="n">
        <x:v>0</x:v>
      </x:c>
      <x:c r="I148" s="24" t="n">
        <x:v>0</x:v>
      </x:c>
      <x:c r="J148" s="24" t="n">
        <x:v>0</x:v>
      </x:c>
      <x:c r="K148" s="24" t="n">
        <x:v>0</x:v>
      </x:c>
      <x:c r="L148" s="24" t="n">
        <x:v>0</x:v>
      </x:c>
      <x:c r="M148" s="24" t="n">
        <x:v>0</x:v>
      </x:c>
    </x:row>
    <x:row r="149" ht="18" customHeight="1">
      <x:c r="A149" t="n">
        <x:v>146</x:v>
      </x:c>
      <x:c r="B149" t="str">
        <x:v>Liberty Tech</x:v>
      </x:c>
      <x:c r="C149" t="str">
        <x:v>DG_RFO</x:v>
      </x:c>
      <x:c r="D149" t="n">
        <x:v>124</x:v>
      </x:c>
      <x:c r="E149" s="24" t="n">
        <x:v>14.88</x:v>
      </x:c>
      <x:c r="F149" s="24" t="n">
        <x:v>0</x:v>
      </x:c>
      <x:c r="G149" s="24" t="n">
        <x:v>0</x:v>
      </x:c>
      <x:c r="H149" s="24" t="n">
        <x:v>0</x:v>
      </x:c>
      <x:c r="I149" s="24" t="n">
        <x:v>0</x:v>
      </x:c>
      <x:c r="J149" s="24" t="n">
        <x:v>0</x:v>
      </x:c>
      <x:c r="K149" s="24" t="n">
        <x:v>0</x:v>
      </x:c>
      <x:c r="L149" s="24" t="n">
        <x:v>0</x:v>
      </x:c>
      <x:c r="M149" s="24" t="n">
        <x:v>0</x:v>
      </x:c>
    </x:row>
    <x:row r="150" ht="18" customHeight="1">
      <x:c r="A150" t="n">
        <x:v>147</x:v>
      </x:c>
      <x:c r="B150" t="str">
        <x:v>Nishat C</x:v>
      </x:c>
      <x:c r="C150" t="str">
        <x:v>DG_RFO</x:v>
      </x:c>
      <x:c r="D150" t="n">
        <x:v>124</x:v>
      </x:c>
      <x:c r="E150" s="24" t="n">
        <x:v>14.87</x:v>
      </x:c>
      <x:c r="F150" s="24" t="n">
        <x:v>0</x:v>
      </x:c>
      <x:c r="G150" s="24" t="n">
        <x:v>0</x:v>
      </x:c>
      <x:c r="H150" s="24" t="n">
        <x:v>0</x:v>
      </x:c>
      <x:c r="I150" s="24" t="n">
        <x:v>0</x:v>
      </x:c>
      <x:c r="J150" s="24" t="n">
        <x:v>0</x:v>
      </x:c>
      <x:c r="K150" s="24" t="n">
        <x:v>0</x:v>
      </x:c>
      <x:c r="L150" s="24" t="n">
        <x:v>0</x:v>
      </x:c>
      <x:c r="M150" s="24" t="n">
        <x:v>0</x:v>
      </x:c>
    </x:row>
    <x:row r="151" ht="18" customHeight="1">
      <x:c r="A151" t="n">
        <x:v>148</x:v>
      </x:c>
      <x:c r="B151" t="str">
        <x:v>Nishat P</x:v>
      </x:c>
      <x:c r="C151" t="str">
        <x:v>DG_RFO</x:v>
      </x:c>
      <x:c r="D151" t="n">
        <x:v>124</x:v>
      </x:c>
      <x:c r="E151" s="24" t="n">
        <x:v>12.27</x:v>
      </x:c>
      <x:c r="F151" s="24" t="n">
        <x:v>0</x:v>
      </x:c>
      <x:c r="G151" s="24" t="n">
        <x:v>0</x:v>
      </x:c>
      <x:c r="H151" s="24" t="n">
        <x:v>0</x:v>
      </x:c>
      <x:c r="I151" s="24" t="n">
        <x:v>0</x:v>
      </x:c>
      <x:c r="J151" s="24" t="n">
        <x:v>0</x:v>
      </x:c>
      <x:c r="K151" s="24" t="n">
        <x:v>0</x:v>
      </x:c>
      <x:c r="L151" s="24" t="n">
        <x:v>0</x:v>
      </x:c>
      <x:c r="M151" s="24" t="n">
        <x:v>0</x:v>
      </x:c>
    </x:row>
    <x:row r="152" ht="18" customHeight="1">
      <x:c r="A152" t="n">
        <x:v>149</x:v>
      </x:c>
      <x:c r="B152" t="str">
        <x:v>GAEL</x:v>
      </x:c>
      <x:c r="C152" t="str">
        <x:v>KE_DG_RFO</x:v>
      </x:c>
      <x:c r="D152" t="n">
        <x:v>124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v>0</x:v>
      </x:c>
      <x:c r="J152" s="24" t="n">
        <x:v>0</x:v>
      </x:c>
      <x:c r="K152" s="24" t="n">
        <x:v>0</x:v>
      </x:c>
      <x:c r="L152" s="24" t="n">
        <x:v>0</x:v>
      </x:c>
      <x:c r="M152" s="24" t="n">
        <x:v>0</x:v>
      </x:c>
    </x:row>
    <x:row r="153" ht="18" customHeight="1">
      <x:c r="A153" t="n">
        <x:v>150</x:v>
      </x:c>
      <x:c r="B153" t="str">
        <x:v>NEW OCGT_North/Center</x:v>
      </x:c>
      <x:c r="C153" t="str">
        <x:v>OCGT</x:v>
      </x:c>
      <x:c r="D153" t="n">
        <x:v>124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v>0</x:v>
      </x:c>
      <x:c r="J153" s="24" t="n">
        <x:v>0</x:v>
      </x:c>
      <x:c r="K153" s="24" t="n">
        <x:v>0</x:v>
      </x:c>
      <x:c r="L153" s="24" t="n">
        <x:v>0</x:v>
      </x:c>
      <x:c r="M153" s="24" t="n">
        <x:v>0</x:v>
      </x:c>
    </x:row>
    <x:row r="154" ht="18" customHeight="1">
      <x:c r="A154" t="n">
        <x:v>151</x:v>
      </x:c>
      <x:c r="B154" t="str">
        <x:v>NEW OCGT_South</x:v>
      </x:c>
      <x:c r="C154" t="str">
        <x:v>OCGT</x:v>
      </x:c>
      <x:c r="D154" t="n">
        <x:v>124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v>0</x:v>
      </x:c>
      <x:c r="J154" s="24" t="n">
        <x:v>0</x:v>
      </x:c>
      <x:c r="K154" s="24" t="n">
        <x:v>0</x:v>
      </x:c>
      <x:c r="L154" s="24" t="n">
        <x:v>0</x:v>
      </x:c>
      <x:c r="M154" s="24" t="n">
        <x:v>0</x:v>
      </x:c>
    </x:row>
    <x:row r="155" ht="18" customHeight="1">
      <x:c r="A155" t="n">
        <x:v>152</x:v>
      </x:c>
      <x:c r="B155" t="str">
        <x:v>C-1</x:v>
      </x:c>
      <x:c r="C155" t="str">
        <x:v>Nuclear</x:v>
      </x:c>
      <x:c r="D155" t="n">
        <x:v>124</x:v>
      </x:c>
      <x:c r="E155" s="24" t="n">
        <x:v>90</x:v>
      </x:c>
      <x:c r="F155" s="24" t="n">
        <x:v>90.24</x:v>
      </x:c>
      <x:c r="G155" s="24" t="n">
        <x:v>89.97</x:v>
      </x:c>
      <x:c r="H155" s="24" t="n">
        <x:v>89.91</x:v>
      </x:c>
      <x:c r="I155" s="24" t="n">
        <x:v>89.81</x:v>
      </x:c>
      <x:c r="J155" s="24" t="n">
        <x:v>89.84</x:v>
      </x:c>
      <x:c r="K155" s="24" t="n">
        <x:v>88.85</x:v>
      </x:c>
      <x:c r="L155" s="24" t="n">
        <x:v>88.03</x:v>
      </x:c>
      <x:c r="M155" s="24" t="n">
        <x:v>89.11</x:v>
      </x:c>
    </x:row>
    <x:row r="156" ht="18" customHeight="1">
      <x:c r="A156" t="n">
        <x:v>153</x:v>
      </x:c>
      <x:c r="B156" t="str">
        <x:v>C-2</x:v>
      </x:c>
      <x:c r="C156" t="str">
        <x:v>Nuclear</x:v>
      </x:c>
      <x:c r="D156" t="n">
        <x:v>124</x:v>
      </x:c>
      <x:c r="E156" s="24" t="n">
        <x:v>90</x:v>
      </x:c>
      <x:c r="F156" s="24" t="n">
        <x:v>90.24</x:v>
      </x:c>
      <x:c r="G156" s="24" t="n">
        <x:v>89.97</x:v>
      </x:c>
      <x:c r="H156" s="24" t="n">
        <x:v>89.91</x:v>
      </x:c>
      <x:c r="I156" s="24" t="n">
        <x:v>89.81</x:v>
      </x:c>
      <x:c r="J156" s="24" t="n">
        <x:v>89.84</x:v>
      </x:c>
      <x:c r="K156" s="24" t="n">
        <x:v>88.85</x:v>
      </x:c>
      <x:c r="L156" s="24" t="n">
        <x:v>88.02</x:v>
      </x:c>
      <x:c r="M156" s="24" t="n">
        <x:v>89.16</x:v>
      </x:c>
    </x:row>
    <x:row r="157" ht="18" customHeight="1">
      <x:c r="A157" t="n">
        <x:v>154</x:v>
      </x:c>
      <x:c r="B157" t="str">
        <x:v>C-3</x:v>
      </x:c>
      <x:c r="C157" t="str">
        <x:v>Nuclear</x:v>
      </x:c>
      <x:c r="D157" t="n">
        <x:v>124</x:v>
      </x:c>
      <x:c r="E157" s="24" t="n">
        <x:v>90</x:v>
      </x:c>
      <x:c r="F157" s="24" t="n">
        <x:v>90.23</x:v>
      </x:c>
      <x:c r="G157" s="24" t="n">
        <x:v>89.97</x:v>
      </x:c>
      <x:c r="H157" s="24" t="n">
        <x:v>89.89</x:v>
      </x:c>
      <x:c r="I157" s="24" t="n">
        <x:v>89.82</x:v>
      </x:c>
      <x:c r="J157" s="24" t="n">
        <x:v>89.85</x:v>
      </x:c>
      <x:c r="K157" s="24" t="n">
        <x:v>88.9</x:v>
      </x:c>
      <x:c r="L157" s="24" t="n">
        <x:v>88.08</x:v>
      </x:c>
      <x:c r="M157" s="24" t="n">
        <x:v>89.1</x:v>
      </x:c>
    </x:row>
    <x:row r="158" ht="18" customHeight="1">
      <x:c r="A158" t="n">
        <x:v>155</x:v>
      </x:c>
      <x:c r="B158" t="str">
        <x:v>C-4</x:v>
      </x:c>
      <x:c r="C158" t="str">
        <x:v>Nuclear</x:v>
      </x:c>
      <x:c r="D158" t="n">
        <x:v>124</x:v>
      </x:c>
      <x:c r="E158" s="24" t="n">
        <x:v>90</x:v>
      </x:c>
      <x:c r="F158" s="24" t="n">
        <x:v>90.23</x:v>
      </x:c>
      <x:c r="G158" s="24" t="n">
        <x:v>89.97</x:v>
      </x:c>
      <x:c r="H158" s="24" t="n">
        <x:v>89.91</x:v>
      </x:c>
      <x:c r="I158" s="24" t="n">
        <x:v>89.82</x:v>
      </x:c>
      <x:c r="J158" s="24" t="n">
        <x:v>89.85</x:v>
      </x:c>
      <x:c r="K158" s="24" t="n">
        <x:v>88.9</x:v>
      </x:c>
      <x:c r="L158" s="24" t="n">
        <x:v>88.08</x:v>
      </x:c>
      <x:c r="M158" s="24" t="n">
        <x:v>89.14</x:v>
      </x:c>
    </x:row>
    <x:row r="159" ht="18" customHeight="1">
      <x:c r="A159" t="n">
        <x:v>156</x:v>
      </x:c>
      <x:c r="B159" t="str">
        <x:v>C-5</x:v>
      </x:c>
      <x:c r="C159" t="str">
        <x:v>Nuclear</x:v>
      </x:c>
      <x:c r="D159" t="n">
        <x:v>124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v>0</x:v>
      </x:c>
      <x:c r="J159" s="24" t="n">
        <x:v>87.8</x:v>
      </x:c>
      <x:c r="K159" s="24" t="n">
        <x:v>84.37</x:v>
      </x:c>
      <x:c r="L159" s="24" t="n">
        <x:v>85.68</x:v>
      </x:c>
      <x:c r="M159" s="24" t="n">
        <x:v>87.92</x:v>
      </x:c>
    </x:row>
    <x:row r="160" ht="18" customHeight="1">
      <x:c r="A160" t="n">
        <x:v>157</x:v>
      </x:c>
      <x:c r="B160" t="str">
        <x:v>K-2</x:v>
      </x:c>
      <x:c r="C160" t="str">
        <x:v>Nuclear</x:v>
      </x:c>
      <x:c r="D160" t="n">
        <x:v>124</x:v>
      </x:c>
      <x:c r="E160" s="24" t="n">
        <x:v>85.07</x:v>
      </x:c>
      <x:c r="F160" s="24" t="n">
        <x:v>85.29</x:v>
      </x:c>
      <x:c r="G160" s="24" t="n">
        <x:v>85.03</x:v>
      </x:c>
      <x:c r="H160" s="24" t="n">
        <x:v>84.94</x:v>
      </x:c>
      <x:c r="I160" s="24" t="n">
        <x:v>84.82</x:v>
      </x:c>
      <x:c r="J160" s="24" t="n">
        <x:v>84.69</x:v>
      </x:c>
      <x:c r="K160" s="24" t="n">
        <x:v>83.45</x:v>
      </x:c>
      <x:c r="L160" s="24" t="n">
        <x:v>82.97</x:v>
      </x:c>
      <x:c r="M160" s="24" t="n">
        <x:v>84.02</x:v>
      </x:c>
    </x:row>
    <x:row r="161" ht="18" customHeight="1">
      <x:c r="A161" t="n">
        <x:v>158</x:v>
      </x:c>
      <x:c r="B161" t="str">
        <x:v>K-3</x:v>
      </x:c>
      <x:c r="C161" t="str">
        <x:v>Nuclear</x:v>
      </x:c>
      <x:c r="D161" t="n">
        <x:v>124</x:v>
      </x:c>
      <x:c r="E161" s="24" t="n">
        <x:v>85.07</x:v>
      </x:c>
      <x:c r="F161" s="24" t="n">
        <x:v>85.29</x:v>
      </x:c>
      <x:c r="G161" s="24" t="n">
        <x:v>85.03</x:v>
      </x:c>
      <x:c r="H161" s="24" t="n">
        <x:v>84.94</x:v>
      </x:c>
      <x:c r="I161" s="24" t="n">
        <x:v>84.82</x:v>
      </x:c>
      <x:c r="J161" s="24" t="n">
        <x:v>84.74</x:v>
      </x:c>
      <x:c r="K161" s="24" t="n">
        <x:v>83.56</x:v>
      </x:c>
      <x:c r="L161" s="24" t="n">
        <x:v>83.13</x:v>
      </x:c>
      <x:c r="M161" s="24" t="n">
        <x:v>84.02</x:v>
      </x:c>
    </x:row>
    <x:row r="162" ht="18" customHeight="1">
      <x:c r="A162" t="n">
        <x:v>159</x:v>
      </x:c>
      <x:c r="B162" t="str">
        <x:v>NEW_Nuclear_North/ Center</x:v>
      </x:c>
      <x:c r="C162" t="str">
        <x:v>Nuclear</x:v>
      </x:c>
      <x:c r="D162" t="n">
        <x:v>124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v>0</x:v>
      </x:c>
      <x:c r="J162" s="24" t="n">
        <x:v>0</x:v>
      </x:c>
      <x:c r="K162" s="24" t="n">
        <x:v>0</x:v>
      </x:c>
      <x:c r="L162" s="24" t="n">
        <x:v>0</x:v>
      </x:c>
      <x:c r="M162" s="24" t="n">
        <x:v>0</x:v>
      </x:c>
    </x:row>
    <x:row r="163" ht="18" customHeight="1">
      <x:c r="A163" t="n">
        <x:v>160</x:v>
      </x:c>
      <x:c r="B163" t="str">
        <x:v>NEW_Nuclear_South</x:v>
      </x:c>
      <x:c r="C163" t="str">
        <x:v>Nuclear</x:v>
      </x:c>
      <x:c r="D163" t="n">
        <x:v>124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v>0</x:v>
      </x:c>
      <x:c r="J163" s="24" t="n">
        <x:v>0</x:v>
      </x:c>
      <x:c r="K163" s="24" t="n">
        <x:v>0</x:v>
      </x:c>
      <x:c r="L163" s="24" t="n">
        <x:v>0</x:v>
      </x:c>
      <x:c r="M163" s="24" t="n">
        <x:v>0</x:v>
      </x:c>
    </x:row>
    <x:row r="164" ht="18" customHeight="1">
      <x:c r="A164" t="n">
        <x:v>161</x:v>
      </x:c>
      <x:c r="B164" t="str">
        <x:v>Engro Thar</x:v>
      </x:c>
      <x:c r="C164" t="str">
        <x:v>Local Coal</x:v>
      </x:c>
      <x:c r="D164" t="n">
        <x:v>124</x:v>
      </x:c>
      <x:c r="E164" s="24" t="n">
        <x:v>85.44</x:v>
      </x:c>
      <x:c r="F164" s="24" t="n">
        <x:v>82.8</x:v>
      </x:c>
      <x:c r="G164" s="24" t="n">
        <x:v>83.45</x:v>
      </x:c>
      <x:c r="H164" s="24" t="n">
        <x:v>82.11</x:v>
      </x:c>
      <x:c r="I164" s="24" t="n">
        <x:v>81.36</x:v>
      </x:c>
      <x:c r="J164" s="24" t="n">
        <x:v>79.28</x:v>
      </x:c>
      <x:c r="K164" s="24" t="n">
        <x:v>68.81</x:v>
      </x:c>
      <x:c r="L164" s="24" t="n">
        <x:v>48.55</x:v>
      </x:c>
      <x:c r="M164" s="24" t="n">
        <x:v>38.91</x:v>
      </x:c>
    </x:row>
    <x:row r="165" ht="18" customHeight="1">
      <x:c r="A165" t="n">
        <x:v>162</x:v>
      </x:c>
      <x:c r="B165" t="str">
        <x:v>Lucky</x:v>
      </x:c>
      <x:c r="C165" t="str">
        <x:v>Local Coal</x:v>
      </x:c>
      <x:c r="D165" t="n">
        <x:v>124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v>0</x:v>
      </x:c>
      <x:c r="J165" s="24" t="n">
        <x:v>0</x:v>
      </x:c>
      <x:c r="K165" s="24" t="n">
        <x:v>0</x:v>
      </x:c>
      <x:c r="L165" s="24" t="n">
        <x:v>0</x:v>
      </x:c>
      <x:c r="M165" s="24" t="n">
        <x:v>0</x:v>
      </x:c>
    </x:row>
    <x:row r="166" ht="18" customHeight="1">
      <x:c r="A166" t="n">
        <x:v>163</x:v>
      </x:c>
      <x:c r="B166" t="str">
        <x:v>NEW_L.Coal 330</x:v>
      </x:c>
      <x:c r="C166" t="str">
        <x:v>Local Coal</x:v>
      </x:c>
      <x:c r="D166" t="n">
        <x:v>125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v>0</x:v>
      </x:c>
      <x:c r="J166" s="24" t="n">
        <x:v>0</x:v>
      </x:c>
      <x:c r="K166" s="24" t="n">
        <x:v>0</x:v>
      </x:c>
      <x:c r="L166" s="24" t="n">
        <x:v>0</x:v>
      </x:c>
      <x:c r="M166" s="24" t="n">
        <x:v>0</x:v>
      </x:c>
    </x:row>
    <x:row r="167" ht="18" customHeight="1">
      <x:c r="A167" t="n">
        <x:v>164</x:v>
      </x:c>
      <x:c r="B167" t="str">
        <x:v>NEW_L.Coal 660</x:v>
      </x:c>
      <x:c r="C167" t="str">
        <x:v>Local Coal</x:v>
      </x:c>
      <x:c r="D167" t="n">
        <x:v>125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v>0</x:v>
      </x:c>
      <x:c r="J167" s="24" t="n">
        <x:v>0</x:v>
      </x:c>
      <x:c r="K167" s="24" t="n">
        <x:v>0</x:v>
      </x:c>
      <x:c r="L167" s="24" t="n">
        <x:v>0</x:v>
      </x:c>
      <x:c r="M167" s="24" t="n">
        <x:v>0</x:v>
      </x:c>
    </x:row>
    <x:row r="168" ht="18" customHeight="1">
      <x:c r="A168" t="n">
        <x:v>165</x:v>
      </x:c>
      <x:c r="B168" t="str">
        <x:v>Thal Nova</x:v>
      </x:c>
      <x:c r="C168" t="str">
        <x:v>Local Coal</x:v>
      </x:c>
      <x:c r="D168" t="n">
        <x:v>125</x:v>
      </x:c>
      <x:c r="E168" s="24" t="n">
        <x:v>84.54</x:v>
      </x:c>
      <x:c r="F168" s="24" t="n">
        <x:v>81.22</x:v>
      </x:c>
      <x:c r="G168" s="24" t="n">
        <x:v>81.23</x:v>
      </x:c>
      <x:c r="H168" s="24" t="n">
        <x:v>79.92</x:v>
      </x:c>
      <x:c r="I168" s="24" t="n">
        <x:v>79.66</x:v>
      </x:c>
      <x:c r="J168" s="24" t="n">
        <x:v>77.41</x:v>
      </x:c>
      <x:c r="K168" s="24" t="n">
        <x:v>65.26</x:v>
      </x:c>
      <x:c r="L168" s="24" t="n">
        <x:v>34.99</x:v>
      </x:c>
      <x:c r="M168" s="24" t="n">
        <x:v>32.02</x:v>
      </x:c>
    </x:row>
    <x:row r="169" ht="18" customHeight="1">
      <x:c r="A169" t="n">
        <x:v>166</x:v>
      </x:c>
      <x:c r="B169" t="str">
        <x:v>Thar TEL</x:v>
      </x:c>
      <x:c r="C169" t="str">
        <x:v>Local Coal</x:v>
      </x:c>
      <x:c r="D169" t="n">
        <x:v>125</x:v>
      </x:c>
      <x:c r="E169" s="24" t="n">
        <x:v>84.49</x:v>
      </x:c>
      <x:c r="F169" s="24" t="n">
        <x:v>81.21</x:v>
      </x:c>
      <x:c r="G169" s="24" t="n">
        <x:v>81.23</x:v>
      </x:c>
      <x:c r="H169" s="24" t="n">
        <x:v>80.08</x:v>
      </x:c>
      <x:c r="I169" s="24" t="n">
        <x:v>79.9</x:v>
      </x:c>
      <x:c r="J169" s="24" t="n">
        <x:v>77.55</x:v>
      </x:c>
      <x:c r="K169" s="24" t="n">
        <x:v>65.19</x:v>
      </x:c>
      <x:c r="L169" s="24" t="n">
        <x:v>38.14</x:v>
      </x:c>
      <x:c r="M169" s="24" t="n">
        <x:v>36.41</x:v>
      </x:c>
    </x:row>
    <x:row r="170" ht="18" customHeight="1">
      <x:c r="A170" t="n">
        <x:v>167</x:v>
      </x:c>
      <x:c r="B170" t="str">
        <x:v>Thar-I (SSRL)</x:v>
      </x:c>
      <x:c r="C170" t="str">
        <x:v>Local Coal</x:v>
      </x:c>
      <x:c r="D170" t="n">
        <x:v>125</x:v>
      </x:c>
      <x:c r="E170" s="24" t="n">
        <x:v>84.92</x:v>
      </x:c>
      <x:c r="F170" s="24" t="n">
        <x:v>74.55</x:v>
      </x:c>
      <x:c r="G170" s="24" t="n">
        <x:v>78.11</x:v>
      </x:c>
      <x:c r="H170" s="24" t="n">
        <x:v>77.95</x:v>
      </x:c>
      <x:c r="I170" s="24" t="n">
        <x:v>76.55</x:v>
      </x:c>
      <x:c r="J170" s="24" t="n">
        <x:v>71.23</x:v>
      </x:c>
      <x:c r="K170" s="24" t="n">
        <x:v>54.4</x:v>
      </x:c>
      <x:c r="L170" s="24" t="n">
        <x:v>62.64</x:v>
      </x:c>
      <x:c r="M170" s="24" t="n">
        <x:v>62.77</x:v>
      </x:c>
    </x:row>
    <x:row r="171" ht="18" customHeight="1">
      <x:c r="A171" t="n">
        <x:v>168</x:v>
      </x:c>
      <x:c r="B171" t="str">
        <x:v>K.E_NEW_L.Coal 330</x:v>
      </x:c>
      <x:c r="C171" t="str">
        <x:v>KE_Local Coal</x:v>
      </x:c>
      <x:c r="D171" t="n">
        <x:v>125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v>0</x:v>
      </x:c>
      <x:c r="J171" s="24" t="n">
        <x:v>0</x:v>
      </x:c>
      <x:c r="K171" s="24" t="n">
        <x:v>0</x:v>
      </x:c>
      <x:c r="L171" s="24" t="n">
        <x:v>0</x:v>
      </x:c>
      <x:c r="M171" s="24" t="n">
        <x:v>0</x:v>
      </x:c>
    </x:row>
    <x:row r="172" ht="18" customHeight="1">
      <x:c r="A172" t="n">
        <x:v>169</x:v>
      </x:c>
      <x:c r="B172" t="str">
        <x:v>K.E_NEW_L.Coal 660</x:v>
      </x:c>
      <x:c r="C172" t="str">
        <x:v>KE_Local Coal</x:v>
      </x:c>
      <x:c r="D172" t="n">
        <x:v>125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v>0</x:v>
      </x:c>
      <x:c r="J172" s="24" t="n">
        <x:v>0</x:v>
      </x:c>
      <x:c r="K172" s="24" t="n">
        <x:v>0</x:v>
      </x:c>
      <x:c r="L172" s="24" t="n">
        <x:v>0</x:v>
      </x:c>
      <x:c r="M172" s="24" t="n">
        <x:v>0</x:v>
      </x:c>
    </x:row>
    <x:row r="173" ht="18" customHeight="1">
      <x:c r="A173" t="n">
        <x:v>170</x:v>
      </x:c>
      <x:c r="B173" t="str">
        <x:v>China HUBCO</x:v>
      </x:c>
      <x:c r="C173" t="str">
        <x:v>Imported Coal</x:v>
      </x:c>
      <x:c r="D173" t="n">
        <x:v>125</x:v>
      </x:c>
      <x:c r="E173" s="24" t="n">
        <x:v>46.69</x:v>
      </x:c>
      <x:c r="F173" s="24" t="n">
        <x:v>0.61</x:v>
      </x:c>
      <x:c r="G173" s="24" t="n">
        <x:v>0.43</x:v>
      </x:c>
      <x:c r="H173" s="24" t="n">
        <x:v>0.86</x:v>
      </x:c>
      <x:c r="I173" s="24" t="n">
        <x:v>2.91</x:v>
      </x:c>
      <x:c r="J173" s="24" t="n">
        <x:v>3.31</x:v>
      </x:c>
      <x:c r="K173" s="24" t="n">
        <x:v>18.05</x:v>
      </x:c>
      <x:c r="L173" s="24" t="n">
        <x:v>16.86</x:v>
      </x:c>
      <x:c r="M173" s="24" t="n">
        <x:v>15.78</x:v>
      </x:c>
    </x:row>
    <x:row r="174" ht="18" customHeight="1">
      <x:c r="A174" t="n">
        <x:v>171</x:v>
      </x:c>
      <x:c r="B174" t="str">
        <x:v>Gwadar</x:v>
      </x:c>
      <x:c r="C174" t="str">
        <x:v>Imported Coal</x:v>
      </x:c>
      <x:c r="D174" t="n">
        <x:v>125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v>0</x:v>
      </x:c>
      <x:c r="J174" s="24" t="n">
        <x:v>0</x:v>
      </x:c>
      <x:c r="K174" s="24" t="n">
        <x:v>0</x:v>
      </x:c>
      <x:c r="L174" s="24" t="n">
        <x:v>0</x:v>
      </x:c>
      <x:c r="M174" s="24" t="n">
        <x:v>0</x:v>
      </x:c>
    </x:row>
    <x:row r="175" ht="18" customHeight="1">
      <x:c r="A175" t="n">
        <x:v>172</x:v>
      </x:c>
      <x:c r="B175" t="str">
        <x:v>Jamshoro Coal</x:v>
      </x:c>
      <x:c r="C175" t="str">
        <x:v>Imported Coal</x:v>
      </x:c>
      <x:c r="D175" t="n">
        <x:v>125</x:v>
      </x:c>
      <x:c r="E175" s="24" t="n">
        <x:v>1.09</x:v>
      </x:c>
      <x:c r="F175" s="24" t="n">
        <x:v>0</x:v>
      </x:c>
      <x:c r="G175" s="24" t="n">
        <x:v>0</x:v>
      </x:c>
      <x:c r="H175" s="24" t="n">
        <x:v>0.24</x:v>
      </x:c>
      <x:c r="I175" s="24" t="n">
        <x:v>0.3</x:v>
      </x:c>
      <x:c r="J175" s="24" t="n">
        <x:v>0.27</x:v>
      </x:c>
      <x:c r="K175" s="24" t="n">
        <x:v>9.24</x:v>
      </x:c>
      <x:c r="L175" s="24" t="n">
        <x:v>6.42</x:v>
      </x:c>
      <x:c r="M175" s="24" t="n">
        <x:v>10.52</x:v>
      </x:c>
    </x:row>
    <x:row r="176" ht="18" customHeight="1">
      <x:c r="A176" t="n">
        <x:v>173</x:v>
      </x:c>
      <x:c r="B176" t="str">
        <x:v>Jamshoro Coal 2</x:v>
      </x:c>
      <x:c r="C176" t="str">
        <x:v>Imported Coal</x:v>
      </x:c>
      <x:c r="D176" t="n">
        <x:v>125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v>0</x:v>
      </x:c>
      <x:c r="J176" s="24" t="n">
        <x:v>0</x:v>
      </x:c>
      <x:c r="K176" s="24" t="n">
        <x:v>0</x:v>
      </x:c>
      <x:c r="L176" s="24" t="n">
        <x:v>0</x:v>
      </x:c>
      <x:c r="M176" s="24" t="n">
        <x:v>0</x:v>
      </x:c>
    </x:row>
    <x:row r="177" ht="18" customHeight="1">
      <x:c r="A177" t="n">
        <x:v>174</x:v>
      </x:c>
      <x:c r="B177" t="str">
        <x:v>Port Qasim</x:v>
      </x:c>
      <x:c r="C177" t="str">
        <x:v>Imported Coal</x:v>
      </x:c>
      <x:c r="D177" t="n">
        <x:v>125</x:v>
      </x:c>
      <x:c r="E177" s="24" t="n">
        <x:v>18.7</x:v>
      </x:c>
      <x:c r="F177" s="24" t="n">
        <x:v>0.23</x:v>
      </x:c>
      <x:c r="G177" s="24" t="n">
        <x:v>0.11</x:v>
      </x:c>
      <x:c r="H177" s="24" t="n">
        <x:v>0.19</x:v>
      </x:c>
      <x:c r="I177" s="24" t="n">
        <x:v>0.48</x:v>
      </x:c>
      <x:c r="J177" s="24" t="n">
        <x:v>0.7</x:v>
      </x:c>
      <x:c r="K177" s="24" t="n">
        <x:v>8.79</x:v>
      </x:c>
      <x:c r="L177" s="24" t="n">
        <x:v>9.31</x:v>
      </x:c>
      <x:c r="M177" s="24" t="n">
        <x:v>7.69</x:v>
      </x:c>
    </x:row>
    <x:row r="178" ht="18" customHeight="1">
      <x:c r="A178" t="n">
        <x:v>175</x:v>
      </x:c>
      <x:c r="B178" t="str">
        <x:v>Sahiwal Coal</x:v>
      </x:c>
      <x:c r="C178" t="str">
        <x:v>Imported Coal</x:v>
      </x:c>
      <x:c r="D178" t="n">
        <x:v>125</x:v>
      </x:c>
      <x:c r="E178" s="24" t="n">
        <x:v>0.85</x:v>
      </x:c>
      <x:c r="F178" s="24" t="n">
        <x:v>0</x:v>
      </x:c>
      <x:c r="G178" s="24" t="n">
        <x:v>0</x:v>
      </x:c>
      <x:c r="H178" s="24" t="n">
        <x:v>0</x:v>
      </x:c>
      <x:c r="I178" s="24" t="n">
        <x:v>0.05</x:v>
      </x:c>
      <x:c r="J178" s="24" t="n">
        <x:v>0.14</x:v>
      </x:c>
      <x:c r="K178" s="24" t="n">
        <x:v>8.67</x:v>
      </x:c>
      <x:c r="L178" s="24" t="n">
        <x:v>8</x:v>
      </x:c>
      <x:c r="M178" s="24" t="n">
        <x:v>9.89</x:v>
      </x:c>
    </x:row>
    <x:row r="179" ht="18" customHeight="1">
      <x:c r="A179" t="n">
        <x:v>176</x:v>
      </x:c>
      <x:c r="B179" t="str">
        <x:v>FPCL</x:v>
      </x:c>
      <x:c r="C179" t="str">
        <x:v>KE_Imported Coal</x:v>
      </x:c>
      <x:c r="D179" t="n">
        <x:v>125</x:v>
      </x:c>
      <x:c r="E179" s="24" t="n">
        <x:v>21.87</x:v>
      </x:c>
      <x:c r="F179" s="24" t="n">
        <x:v>23.54</x:v>
      </x:c>
      <x:c r="G179" s="24" t="n">
        <x:v>2.6</x:v>
      </x:c>
      <x:c r="H179" s="24" t="n">
        <x:v>2.74</x:v>
      </x:c>
      <x:c r="I179" s="24" t="n">
        <x:v>2.77</x:v>
      </x:c>
      <x:c r="J179" s="24" t="n">
        <x:v>2.84</x:v>
      </x:c>
      <x:c r="K179" s="24" t="n">
        <x:v>8.68</x:v>
      </x:c>
      <x:c r="L179" s="24" t="n">
        <x:v>7.93</x:v>
      </x:c>
      <x:c r="M179" s="24" t="n">
        <x:v>7.45</x:v>
      </x:c>
    </x:row>
    <x:row r="180" ht="18" customHeight="1">
      <x:c r="A180" t="n">
        <x:v>177</x:v>
      </x:c>
      <x:c r="B180" t="str">
        <x:v>Altern</x:v>
      </x:c>
      <x:c r="C180" t="str">
        <x:v>Gas Engine_RLNG</x:v>
      </x:c>
      <x:c r="D180" t="n">
        <x:v>125</x:v>
      </x:c>
      <x:c r="E180" s="24" t="n">
        <x:v>0.19</x:v>
      </x:c>
      <x:c r="F180" s="24" t="n">
        <x:v>0.86</x:v>
      </x:c>
      <x:c r="G180" s="24" t="n">
        <x:v>0.57</x:v>
      </x:c>
      <x:c r="H180" s="24" t="n">
        <x:v>2.24</x:v>
      </x:c>
      <x:c r="I180" s="24" t="n">
        <x:v>4.51</x:v>
      </x:c>
      <x:c r="J180" s="24" t="n">
        <x:v>0</x:v>
      </x:c>
      <x:c r="K180" s="24" t="n">
        <x:v>0</x:v>
      </x:c>
      <x:c r="L180" s="24" t="n">
        <x:v>0</x:v>
      </x:c>
      <x:c r="M180" s="24" t="n">
        <x:v>0</x:v>
      </x:c>
    </x:row>
    <x:row r="181" ht="18" customHeight="1">
      <x:c r="A181" t="n">
        <x:v>178</x:v>
      </x:c>
      <x:c r="B181" t="str">
        <x:v>Balloki</x:v>
      </x:c>
      <x:c r="C181" t="str">
        <x:v>CCGT_RLNG</x:v>
      </x:c>
      <x:c r="D181" t="n">
        <x:v>125</x:v>
      </x:c>
      <x:c r="E181" s="24" t="n">
        <x:v>38.75</x:v>
      </x:c>
      <x:c r="F181" s="24" t="n">
        <x:v>33.92</x:v>
      </x:c>
      <x:c r="G181" s="24" t="n">
        <x:v>43.95</x:v>
      </x:c>
      <x:c r="H181" s="24" t="n">
        <x:v>45.66</x:v>
      </x:c>
      <x:c r="I181" s="24" t="n">
        <x:v>42.12</x:v>
      </x:c>
      <x:c r="J181" s="24" t="n">
        <x:v>41.7</x:v>
      </x:c>
      <x:c r="K181" s="24" t="n">
        <x:v>0.3</x:v>
      </x:c>
      <x:c r="L181" s="24" t="n">
        <x:v>0.14</x:v>
      </x:c>
      <x:c r="M181" s="24" t="n">
        <x:v>0</x:v>
      </x:c>
    </x:row>
    <x:row r="182" ht="18" customHeight="1">
      <x:c r="A182" t="n">
        <x:v>179</x:v>
      </x:c>
      <x:c r="B182" t="str">
        <x:v>Bhikki</x:v>
      </x:c>
      <x:c r="C182" t="str">
        <x:v>CCGT_RLNG</x:v>
      </x:c>
      <x:c r="D182" t="n">
        <x:v>125</x:v>
      </x:c>
      <x:c r="E182" s="24" t="n">
        <x:v>14.3</x:v>
      </x:c>
      <x:c r="F182" s="24" t="n">
        <x:v>20.62</x:v>
      </x:c>
      <x:c r="G182" s="24" t="n">
        <x:v>21.68</x:v>
      </x:c>
      <x:c r="H182" s="24" t="n">
        <x:v>16.85</x:v>
      </x:c>
      <x:c r="I182" s="24" t="n">
        <x:v>20.11</x:v>
      </x:c>
      <x:c r="J182" s="24" t="n">
        <x:v>21.42</x:v>
      </x:c>
      <x:c r="K182" s="24" t="n">
        <x:v>0</x:v>
      </x:c>
      <x:c r="L182" s="24" t="n">
        <x:v>0</x:v>
      </x:c>
      <x:c r="M182" s="24" t="n">
        <x:v>0</x:v>
      </x:c>
    </x:row>
    <x:row r="183" ht="18" customHeight="1">
      <x:c r="A183" t="n">
        <x:v>180</x:v>
      </x:c>
      <x:c r="B183" t="str">
        <x:v>FKPCL</x:v>
      </x:c>
      <x:c r="C183" t="str">
        <x:v>CCGT_RLNG</x:v>
      </x:c>
      <x:c r="D183" t="n">
        <x:v>125</x:v>
      </x:c>
      <x:c r="E183" s="24" t="n">
        <x:v>12.24</x:v>
      </x:c>
      <x:c r="F183" s="24" t="n">
        <x:v>12.63</x:v>
      </x:c>
      <x:c r="G183" s="24" t="n">
        <x:v>0.6</x:v>
      </x:c>
      <x:c r="H183" s="24" t="n">
        <x:v>2.39</x:v>
      </x:c>
      <x:c r="I183" s="24" t="n">
        <x:v>4.71</x:v>
      </x:c>
      <x:c r="J183" s="24" t="n">
        <x:v>3.23</x:v>
      </x:c>
      <x:c r="K183" s="24" t="n">
        <x:v>0</x:v>
      </x:c>
      <x:c r="L183" s="24" t="n">
        <x:v>0</x:v>
      </x:c>
      <x:c r="M183" s="24" t="n">
        <x:v>0</x:v>
      </x:c>
    </x:row>
    <x:row r="184" ht="18" customHeight="1">
      <x:c r="A184" t="n">
        <x:v>181</x:v>
      </x:c>
      <x:c r="B184" t="str">
        <x:v>Halmore</x:v>
      </x:c>
      <x:c r="C184" t="str">
        <x:v>CCGT_RLNG</x:v>
      </x:c>
      <x:c r="D184" t="n">
        <x:v>125</x:v>
      </x:c>
      <x:c r="E184" s="24" t="n">
        <x:v>13.2</x:v>
      </x:c>
      <x:c r="F184" s="24" t="n">
        <x:v>3.31</x:v>
      </x:c>
      <x:c r="G184" s="24" t="n">
        <x:v>3.76</x:v>
      </x:c>
      <x:c r="H184" s="24" t="n">
        <x:v>4.81</x:v>
      </x:c>
      <x:c r="I184" s="24" t="n">
        <x:v>6.28</x:v>
      </x:c>
      <x:c r="J184" s="24" t="n">
        <x:v>6.48</x:v>
      </x:c>
      <x:c r="K184" s="24" t="n">
        <x:v>0</x:v>
      </x:c>
      <x:c r="L184" s="24" t="n">
        <x:v>0</x:v>
      </x:c>
      <x:c r="M184" s="24" t="n">
        <x:v>0</x:v>
      </x:c>
    </x:row>
    <x:row r="185" ht="18" customHeight="1">
      <x:c r="A185" t="n">
        <x:v>182</x:v>
      </x:c>
      <x:c r="B185" t="str">
        <x:v>Haveli</x:v>
      </x:c>
      <x:c r="C185" t="str">
        <x:v>CCGT_RLNG</x:v>
      </x:c>
      <x:c r="D185" t="n">
        <x:v>125</x:v>
      </x:c>
      <x:c r="E185" s="24" t="n">
        <x:v>61.98</x:v>
      </x:c>
      <x:c r="F185" s="24" t="n">
        <x:v>61.63</x:v>
      </x:c>
      <x:c r="G185" s="24" t="n">
        <x:v>68.92</x:v>
      </x:c>
      <x:c r="H185" s="24" t="n">
        <x:v>70.72</x:v>
      </x:c>
      <x:c r="I185" s="24" t="n">
        <x:v>65.15</x:v>
      </x:c>
      <x:c r="J185" s="24" t="n">
        <x:v>66.25</x:v>
      </x:c>
      <x:c r="K185" s="24" t="n">
        <x:v>4.78</x:v>
      </x:c>
      <x:c r="L185" s="24" t="n">
        <x:v>4.03</x:v>
      </x:c>
      <x:c r="M185" s="24" t="n">
        <x:v>2.89</x:v>
      </x:c>
    </x:row>
    <x:row r="186" ht="18" customHeight="1">
      <x:c r="A186" t="n">
        <x:v>183</x:v>
      </x:c>
      <x:c r="B186" t="str">
        <x:v>KAPCO 495</x:v>
      </x:c>
      <x:c r="C186" t="str">
        <x:v>CCGT_RLNG</x:v>
      </x:c>
      <x:c r="D186" t="n">
        <x:v>125</x:v>
      </x:c>
      <x:c r="E186" s="24" t="n">
        <x:v>25.24</x:v>
      </x:c>
      <x:c r="F186" s="24" t="n">
        <x:v>25.37</x:v>
      </x:c>
      <x:c r="G186" s="24" t="n">
        <x:v>0</x:v>
      </x:c>
      <x:c r="H186" s="24" t="n">
        <x:v>0</x:v>
      </x:c>
      <x:c r="I186" s="24" t="n">
        <x:v>0</x:v>
      </x:c>
      <x:c r="J186" s="24" t="n">
        <x:v>0</x:v>
      </x:c>
      <x:c r="K186" s="24" t="n">
        <x:v>0</x:v>
      </x:c>
      <x:c r="L186" s="24" t="n">
        <x:v>0</x:v>
      </x:c>
      <x:c r="M186" s="24" t="n">
        <x:v>0</x:v>
      </x:c>
    </x:row>
    <x:row r="187" ht="18" customHeight="1">
      <x:c r="A187" t="n">
        <x:v>184</x:v>
      </x:c>
      <x:c r="B187" t="str">
        <x:v>Nandipur</x:v>
      </x:c>
      <x:c r="C187" t="str">
        <x:v>CCGT_RLNG</x:v>
      </x:c>
      <x:c r="D187" t="n">
        <x:v>125</x:v>
      </x:c>
      <x:c r="E187" s="24" t="n">
        <x:v>0.29</x:v>
      </x:c>
      <x:c r="F187" s="24" t="n">
        <x:v>1.76</x:v>
      </x:c>
      <x:c r="G187" s="24" t="n">
        <x:v>1.98</x:v>
      </x:c>
      <x:c r="H187" s="24" t="n">
        <x:v>3.33</x:v>
      </x:c>
      <x:c r="I187" s="24" t="n">
        <x:v>4.92</x:v>
      </x:c>
      <x:c r="J187" s="24" t="n">
        <x:v>4.66</x:v>
      </x:c>
      <x:c r="K187" s="24" t="n">
        <x:v>0</x:v>
      </x:c>
      <x:c r="L187" s="24" t="n">
        <x:v>0</x:v>
      </x:c>
      <x:c r="M187" s="24" t="n">
        <x:v>0</x:v>
      </x:c>
    </x:row>
    <x:row r="188" ht="18" customHeight="1">
      <x:c r="A188" t="n">
        <x:v>185</x:v>
      </x:c>
      <x:c r="B188" t="str">
        <x:v>NEW_CCGT_North/C enter</x:v>
      </x:c>
      <x:c r="C188" t="str">
        <x:v>CCGT_RLNG</x:v>
      </x:c>
      <x:c r="D188" t="n">
        <x:v>125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v>0</x:v>
      </x:c>
      <x:c r="J188" s="24" t="n">
        <x:v>0</x:v>
      </x:c>
      <x:c r="K188" s="24" t="n">
        <x:v>0</x:v>
      </x:c>
      <x:c r="L188" s="24" t="n">
        <x:v>0</x:v>
      </x:c>
      <x:c r="M188" s="24" t="n">
        <x:v>0</x:v>
      </x:c>
    </x:row>
    <x:row r="189" ht="18" customHeight="1">
      <x:c r="A189" t="n">
        <x:v>186</x:v>
      </x:c>
      <x:c r="B189" t="str">
        <x:v>NEW_CCGT_South</x:v>
      </x:c>
      <x:c r="C189" t="str">
        <x:v>CCGT_RLNG</x:v>
      </x:c>
      <x:c r="D189" t="n">
        <x:v>125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v>0</x:v>
      </x:c>
      <x:c r="J189" s="24" t="n">
        <x:v>0</x:v>
      </x:c>
      <x:c r="K189" s="24" t="n">
        <x:v>0</x:v>
      </x:c>
      <x:c r="L189" s="24" t="n">
        <x:v>0</x:v>
      </x:c>
      <x:c r="M189" s="24" t="n">
        <x:v>0</x:v>
      </x:c>
    </x:row>
    <x:row r="190" ht="18" customHeight="1">
      <x:c r="A190" t="n">
        <x:v>187</x:v>
      </x:c>
      <x:c r="B190" t="str">
        <x:v>Orient</x:v>
      </x:c>
      <x:c r="C190" t="str">
        <x:v>CCGT_RLNG</x:v>
      </x:c>
      <x:c r="D190" t="n">
        <x:v>125</x:v>
      </x:c>
      <x:c r="E190" s="24" t="n">
        <x:v>13.2</x:v>
      </x:c>
      <x:c r="F190" s="24" t="n">
        <x:v>3.47</x:v>
      </x:c>
      <x:c r="G190" s="24" t="n">
        <x:v>4.52</x:v>
      </x:c>
      <x:c r="H190" s="24" t="n">
        <x:v>5.04</x:v>
      </x:c>
      <x:c r="I190" s="24" t="n">
        <x:v>7.08</x:v>
      </x:c>
      <x:c r="J190" s="24" t="n">
        <x:v>7.02</x:v>
      </x:c>
      <x:c r="K190" s="24" t="n">
        <x:v>0</x:v>
      </x:c>
      <x:c r="L190" s="24" t="n">
        <x:v>0</x:v>
      </x:c>
      <x:c r="M190" s="24" t="n">
        <x:v>0</x:v>
      </x:c>
    </x:row>
    <x:row r="191" ht="18" customHeight="1">
      <x:c r="A191" t="n">
        <x:v>188</x:v>
      </x:c>
      <x:c r="B191" t="str">
        <x:v>Saif</x:v>
      </x:c>
      <x:c r="C191" t="str">
        <x:v>CCGT_RLNG</x:v>
      </x:c>
      <x:c r="D191" t="n">
        <x:v>125</x:v>
      </x:c>
      <x:c r="E191" s="24" t="n">
        <x:v>12.89</x:v>
      </x:c>
      <x:c r="F191" s="24" t="n">
        <x:v>13.82</x:v>
      </x:c>
      <x:c r="G191" s="24" t="n">
        <x:v>0.94</x:v>
      </x:c>
      <x:c r="H191" s="24" t="n">
        <x:v>4.11</x:v>
      </x:c>
      <x:c r="I191" s="24" t="n">
        <x:v>5.75</x:v>
      </x:c>
      <x:c r="J191" s="24" t="n">
        <x:v>5.6</x:v>
      </x:c>
      <x:c r="K191" s="24" t="n">
        <x:v>0</x:v>
      </x:c>
      <x:c r="L191" s="24" t="n">
        <x:v>0</x:v>
      </x:c>
      <x:c r="M191" s="24" t="n">
        <x:v>0</x:v>
      </x:c>
    </x:row>
    <x:row r="192" ht="18" customHeight="1">
      <x:c r="A192" t="n">
        <x:v>189</x:v>
      </x:c>
      <x:c r="B192" t="str">
        <x:v>Saphire</x:v>
      </x:c>
      <x:c r="C192" t="str">
        <x:v>CCGT_RLNG</x:v>
      </x:c>
      <x:c r="D192" t="n">
        <x:v>125</x:v>
      </x:c>
      <x:c r="E192" s="24" t="n">
        <x:v>13.13</x:v>
      </x:c>
      <x:c r="F192" s="24" t="n">
        <x:v>2.76</x:v>
      </x:c>
      <x:c r="G192" s="24" t="n">
        <x:v>3.46</x:v>
      </x:c>
      <x:c r="H192" s="24" t="n">
        <x:v>4.6</x:v>
      </x:c>
      <x:c r="I192" s="24" t="n">
        <x:v>6.12</x:v>
      </x:c>
      <x:c r="J192" s="24" t="n">
        <x:v>5.86</x:v>
      </x:c>
      <x:c r="K192" s="24" t="n">
        <x:v>0</x:v>
      </x:c>
      <x:c r="L192" s="24" t="n">
        <x:v>0</x:v>
      </x:c>
      <x:c r="M192" s="24" t="n">
        <x:v>0</x:v>
      </x:c>
    </x:row>
    <x:row r="193" ht="18" customHeight="1">
      <x:c r="A193" t="n">
        <x:v>190</x:v>
      </x:c>
      <x:c r="B193" t="str">
        <x:v>Trimmu</x:v>
      </x:c>
      <x:c r="C193" t="str">
        <x:v>CCGT_RLNG</x:v>
      </x:c>
      <x:c r="D193" t="n">
        <x:v>125</x:v>
      </x:c>
      <x:c r="E193" s="24" t="n">
        <x:v>5.24</x:v>
      </x:c>
      <x:c r="F193" s="24" t="n">
        <x:v>9.21</x:v>
      </x:c>
      <x:c r="G193" s="24" t="n">
        <x:v>8.39</x:v>
      </x:c>
      <x:c r="H193" s="24" t="n">
        <x:v>7.34</x:v>
      </x:c>
      <x:c r="I193" s="24" t="n">
        <x:v>10.45</x:v>
      </x:c>
      <x:c r="J193" s="24" t="n">
        <x:v>9.14</x:v>
      </x:c>
      <x:c r="K193" s="24" t="n">
        <x:v>1.78</x:v>
      </x:c>
      <x:c r="L193" s="24" t="n">
        <x:v>0.92</x:v>
      </x:c>
      <x:c r="M193" s="24" t="n">
        <x:v>0.92</x:v>
      </x:c>
    </x:row>
    <x:row r="194" ht="18" customHeight="1">
      <x:c r="A194" t="n">
        <x:v>191</x:v>
      </x:c>
      <x:c r="B194" t="str">
        <x:v>BQPS2</x:v>
      </x:c>
      <x:c r="C194" t="str">
        <x:v>KE_CCGT_RLNG</x:v>
      </x:c>
      <x:c r="D194" t="n">
        <x:v>125</x:v>
      </x:c>
      <x:c r="E194" s="24" t="n">
        <x:v>4.29</x:v>
      </x:c>
      <x:c r="F194" s="24" t="n">
        <x:v>4.82</x:v>
      </x:c>
      <x:c r="G194" s="24" t="n">
        <x:v>0</x:v>
      </x:c>
      <x:c r="H194" s="24" t="n">
        <x:v>0</x:v>
      </x:c>
      <x:c r="I194" s="24" t="n">
        <x:v>0</x:v>
      </x:c>
      <x:c r="J194" s="24" t="n">
        <x:v>0</x:v>
      </x:c>
      <x:c r="K194" s="24" t="n">
        <x:v>0</x:v>
      </x:c>
      <x:c r="L194" s="24" t="n">
        <x:v>0</x:v>
      </x:c>
      <x:c r="M194" s="24" t="n">
        <x:v>0</x:v>
      </x:c>
    </x:row>
    <x:row r="195" ht="18" customHeight="1">
      <x:c r="A195" t="n">
        <x:v>192</x:v>
      </x:c>
      <x:c r="B195" t="str">
        <x:v>BQPS3</x:v>
      </x:c>
      <x:c r="C195" t="str">
        <x:v>KE_CCGT_RLNG</x:v>
      </x:c>
      <x:c r="D195" t="n">
        <x:v>125</x:v>
      </x:c>
      <x:c r="E195" s="24" t="n">
        <x:v>14.22</x:v>
      </x:c>
      <x:c r="F195" s="24" t="n">
        <x:v>14.64</x:v>
      </x:c>
      <x:c r="G195" s="24" t="n">
        <x:v>0.59</x:v>
      </x:c>
      <x:c r="H195" s="24" t="n">
        <x:v>0.65</x:v>
      </x:c>
      <x:c r="I195" s="24" t="n">
        <x:v>0.69</x:v>
      </x:c>
      <x:c r="J195" s="24" t="n">
        <x:v>0.77</x:v>
      </x:c>
      <x:c r="K195" s="24" t="n">
        <x:v>1.05</x:v>
      </x:c>
      <x:c r="L195" s="24" t="n">
        <x:v>0.93</x:v>
      </x:c>
      <x:c r="M195" s="24" t="n">
        <x:v>0.84</x:v>
      </x:c>
    </x:row>
    <x:row r="196" ht="18" customHeight="1">
      <x:c r="A196" t="n">
        <x:v>193</x:v>
      </x:c>
      <x:c r="B196" t="str">
        <x:v>KCCPP</x:v>
      </x:c>
      <x:c r="C196" t="str">
        <x:v>KE_CCGT_RLNG</x:v>
      </x:c>
      <x:c r="D196" t="n">
        <x:v>125</x:v>
      </x:c>
      <x:c r="E196" s="24" t="n">
        <x:v>0.27</x:v>
      </x:c>
      <x:c r="F196" s="24" t="n">
        <x:v>0.66</x:v>
      </x:c>
      <x:c r="G196" s="24" t="n">
        <x:v>0</x:v>
      </x:c>
      <x:c r="H196" s="24" t="n">
        <x:v>0</x:v>
      </x:c>
      <x:c r="I196" s="24" t="n">
        <x:v>0</x:v>
      </x:c>
      <x:c r="J196" s="24" t="n">
        <x:v>0</x:v>
      </x:c>
      <x:c r="K196" s="24" t="n">
        <x:v>0</x:v>
      </x:c>
      <x:c r="L196" s="24" t="n">
        <x:v>0</x:v>
      </x:c>
      <x:c r="M196" s="24" t="n">
        <x:v>0</x:v>
      </x:c>
    </x:row>
    <x:row r="197" ht="18" customHeight="1">
      <x:c r="A197" t="n">
        <x:v>194</x:v>
      </x:c>
      <x:c r="B197" t="str">
        <x:v>KTGTPS</x:v>
      </x:c>
      <x:c r="C197" t="str">
        <x:v>KE_CCGT_RLNG</x:v>
      </x:c>
      <x:c r="D197" t="n">
        <x:v>125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v>0</x:v>
      </x:c>
      <x:c r="J197" s="24" t="n">
        <x:v>0</x:v>
      </x:c>
      <x:c r="K197" s="24" t="n">
        <x:v>0</x:v>
      </x:c>
      <x:c r="L197" s="24" t="n">
        <x:v>0</x:v>
      </x:c>
      <x:c r="M197" s="24" t="n">
        <x:v>0</x:v>
      </x:c>
    </x:row>
    <x:row r="198" ht="18" customHeight="1">
      <x:c r="A198" t="n">
        <x:v>195</x:v>
      </x:c>
      <x:c r="B198" t="str">
        <x:v>SGTPS</x:v>
      </x:c>
      <x:c r="C198" t="str">
        <x:v>KE_CCGT_RLNG</x:v>
      </x:c>
      <x:c r="D198" t="n">
        <x:v>125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v>0</x:v>
      </x:c>
      <x:c r="J198" s="24" t="n">
        <x:v>0</x:v>
      </x:c>
      <x:c r="K198" s="24" t="n">
        <x:v>0</x:v>
      </x:c>
      <x:c r="L198" s="24" t="n">
        <x:v>0</x:v>
      </x:c>
      <x:c r="M198" s="24" t="n">
        <x:v>0</x:v>
      </x:c>
    </x:row>
    <x:row r="199" ht="18" customHeight="1">
      <x:c r="A199" t="n">
        <x:v>196</x:v>
      </x:c>
      <x:c r="B199" t="str">
        <x:v>BQPS1-U5</x:v>
      </x:c>
      <x:c r="C199" t="str">
        <x:v>KE_ST_RLNG</x:v>
      </x:c>
      <x:c r="D199" t="n">
        <x:v>125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v>0</x:v>
      </x:c>
      <x:c r="J199" s="24" t="n">
        <x:v>0</x:v>
      </x:c>
      <x:c r="K199" s="24" t="n">
        <x:v>0</x:v>
      </x:c>
      <x:c r="L199" s="24" t="n">
        <x:v>0</x:v>
      </x:c>
      <x:c r="M199" s="24" t="n">
        <x:v>0</x:v>
      </x:c>
    </x:row>
    <x:row r="200" ht="18" customHeight="1">
      <x:c r="A200" t="n">
        <x:v>197</x:v>
      </x:c>
      <x:c r="B200" t="str">
        <x:v>BQPS1-U6</x:v>
      </x:c>
      <x:c r="C200" t="str">
        <x:v>KE_ST_RLNG</x:v>
      </x:c>
      <x:c r="D200" t="n">
        <x:v>125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v>0</x:v>
      </x:c>
      <x:c r="J200" s="24" t="n">
        <x:v>0</x:v>
      </x:c>
      <x:c r="K200" s="24" t="n">
        <x:v>0</x:v>
      </x:c>
      <x:c r="L200" s="24" t="n">
        <x:v>0</x:v>
      </x:c>
      <x:c r="M200" s="24" t="n">
        <x:v>0</x:v>
      </x:c>
    </x:row>
    <x:row r="201" ht="18" customHeight="1">
      <x:c r="A201" t="n">
        <x:v>198</x:v>
      </x:c>
      <x:c r="B201" t="str">
        <x:v>Balakot</x:v>
      </x:c>
      <x:c r="C201" t="str">
        <x:v>Hydro_Committed</x:v>
      </x:c>
      <x:c r="D201" t="n">
        <x:v>125</x:v>
      </x:c>
      <x:c r="E201" s="24" t="n">
        <x:v>0</x:v>
      </x:c>
      <x:c r="F201" s="24" t="n">
        <x:v>36.84</x:v>
      </x:c>
      <x:c r="G201" s="24" t="n">
        <x:v>41.96</x:v>
      </x:c>
      <x:c r="H201" s="24" t="n">
        <x:v>41.96</x:v>
      </x:c>
      <x:c r="I201" s="24" t="n">
        <x:v>41.96</x:v>
      </x:c>
      <x:c r="J201" s="24" t="n">
        <x:v>41.85</x:v>
      </x:c>
      <x:c r="K201" s="24" t="n">
        <x:v>41.96</x:v>
      </x:c>
      <x:c r="L201" s="24" t="n">
        <x:v>41.96</x:v>
      </x:c>
      <x:c r="M201" s="24" t="n">
        <x:v>41.96</x:v>
      </x:c>
    </x:row>
    <x:row r="202" ht="18" customHeight="1">
      <x:c r="A202" t="n">
        <x:v>199</x:v>
      </x:c>
      <x:c r="B202" t="str">
        <x:v>Chamfall</x:v>
      </x:c>
      <x:c r="C202" t="str">
        <x:v>Hydro_Committed</x:v>
      </x:c>
      <x:c r="D202" t="n">
        <x:v>125</x:v>
      </x:c>
      <x:c r="E202" s="24" t="n">
        <x:v>47.77</x:v>
      </x:c>
      <x:c r="F202" s="24" t="n">
        <x:v>47.88</x:v>
      </x:c>
      <x:c r="G202" s="24" t="n">
        <x:v>48.01</x:v>
      </x:c>
      <x:c r="H202" s="24" t="n">
        <x:v>48.01</x:v>
      </x:c>
      <x:c r="I202" s="24" t="n">
        <x:v>48.01</x:v>
      </x:c>
      <x:c r="J202" s="24" t="n">
        <x:v>47.88</x:v>
      </x:c>
      <x:c r="K202" s="24" t="n">
        <x:v>48.01</x:v>
      </x:c>
      <x:c r="L202" s="24" t="n">
        <x:v>48.01</x:v>
      </x:c>
      <x:c r="M202" s="24" t="n">
        <x:v>48.01</x:v>
      </x:c>
    </x:row>
    <x:row r="203" ht="18" customHeight="1">
      <x:c r="A203" t="n">
        <x:v>200</x:v>
      </x:c>
      <x:c r="B203" t="str">
        <x:v>Dasu</x:v>
      </x:c>
      <x:c r="C203" t="str">
        <x:v>Hydro_Committed</x:v>
      </x:c>
      <x:c r="D203" t="n">
        <x:v>125</x:v>
      </x:c>
      <x:c r="E203" s="24" t="n">
        <x:v>99</x:v>
      </x:c>
      <x:c r="F203" s="24" t="n">
        <x:v>69.82</x:v>
      </x:c>
      <x:c r="G203" s="24" t="n">
        <x:v>64.52</x:v>
      </x:c>
      <x:c r="H203" s="24" t="n">
        <x:v>64.52</x:v>
      </x:c>
      <x:c r="I203" s="24" t="n">
        <x:v>64.52</x:v>
      </x:c>
      <x:c r="J203" s="24" t="n">
        <x:v>64.27</x:v>
      </x:c>
      <x:c r="K203" s="24" t="n">
        <x:v>64.26</x:v>
      </x:c>
      <x:c r="L203" s="24" t="n">
        <x:v>64.02</x:v>
      </x:c>
      <x:c r="M203" s="24" t="n">
        <x:v>64</x:v>
      </x:c>
    </x:row>
    <x:row r="204" ht="18" customHeight="1">
      <x:c r="A204" t="n">
        <x:v>201</x:v>
      </x:c>
      <x:c r="B204" t="str">
        <x:v>Diamer Bhasha</x:v>
      </x:c>
      <x:c r="C204" t="str">
        <x:v>Hydro_Committed</x:v>
      </x:c>
      <x:c r="D204" t="n">
        <x:v>125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v>0</x:v>
      </x:c>
      <x:c r="J204" s="24" t="n">
        <x:v>0</x:v>
      </x:c>
      <x:c r="K204" s="24" t="n">
        <x:v>77.13</x:v>
      </x:c>
      <x:c r="L204" s="24" t="n">
        <x:v>67.41</x:v>
      </x:c>
      <x:c r="M204" s="24" t="n">
        <x:v>55.72</x:v>
      </x:c>
    </x:row>
    <x:row r="205" ht="18" customHeight="1">
      <x:c r="A205" t="n">
        <x:v>202</x:v>
      </x:c>
      <x:c r="B205" t="str">
        <x:v>Gorkin Matiltan</x:v>
      </x:c>
      <x:c r="C205" t="str">
        <x:v>Hydro_Committed</x:v>
      </x:c>
      <x:c r="D205" t="n">
        <x:v>125</x:v>
      </x:c>
      <x:c r="E205" s="24" t="n">
        <x:v>44.7</x:v>
      </x:c>
      <x:c r="F205" s="24" t="n">
        <x:v>44.37</x:v>
      </x:c>
      <x:c r="G205" s="24" t="n">
        <x:v>44.49</x:v>
      </x:c>
      <x:c r="H205" s="24" t="n">
        <x:v>44.21</x:v>
      </x:c>
      <x:c r="I205" s="24" t="n">
        <x:v>44.06</x:v>
      </x:c>
      <x:c r="J205" s="24" t="n">
        <x:v>43.94</x:v>
      </x:c>
      <x:c r="K205" s="24" t="n">
        <x:v>43.36</x:v>
      </x:c>
      <x:c r="L205" s="24" t="n">
        <x:v>43.5</x:v>
      </x:c>
      <x:c r="M205" s="24" t="n">
        <x:v>43.99</x:v>
      </x:c>
    </x:row>
    <x:row r="206" ht="18" customHeight="1">
      <x:c r="A206" t="n">
        <x:v>203</x:v>
      </x:c>
      <x:c r="B206" t="str">
        <x:v>Jabori</x:v>
      </x:c>
      <x:c r="C206" t="str">
        <x:v>Hydro_Committed</x:v>
      </x:c>
      <x:c r="D206" t="n">
        <x:v>125</x:v>
      </x:c>
      <x:c r="E206" s="24" t="n">
        <x:v>82.38</x:v>
      </x:c>
      <x:c r="F206" s="24" t="n">
        <x:v>82.23</x:v>
      </x:c>
      <x:c r="G206" s="24" t="n">
        <x:v>82.38</x:v>
      </x:c>
      <x:c r="H206" s="24" t="n">
        <x:v>82.38</x:v>
      </x:c>
      <x:c r="I206" s="24" t="n">
        <x:v>82.36</x:v>
      </x:c>
      <x:c r="J206" s="24" t="n">
        <x:v>82.23</x:v>
      </x:c>
      <x:c r="K206" s="24" t="n">
        <x:v>82.33</x:v>
      </x:c>
      <x:c r="L206" s="24" t="n">
        <x:v>82.25</x:v>
      </x:c>
      <x:c r="M206" s="24" t="n">
        <x:v>82.38</x:v>
      </x:c>
    </x:row>
    <x:row r="207" ht="18" customHeight="1">
      <x:c r="A207" t="n">
        <x:v>204</x:v>
      </x:c>
      <x:c r="B207" t="str">
        <x:v>Jagran-II</x:v>
      </x:c>
      <x:c r="C207" t="str">
        <x:v>Hydro_Committed</x:v>
      </x:c>
      <x:c r="D207" t="n">
        <x:v>125</x:v>
      </x:c>
      <x:c r="E207" s="24" t="n">
        <x:v>50.98</x:v>
      </x:c>
      <x:c r="F207" s="24" t="n">
        <x:v>51.08</x:v>
      </x:c>
      <x:c r="G207" s="24" t="n">
        <x:v>51.22</x:v>
      </x:c>
      <x:c r="H207" s="24" t="n">
        <x:v>51.14</x:v>
      </x:c>
      <x:c r="I207" s="24" t="n">
        <x:v>50.81</x:v>
      </x:c>
      <x:c r="J207" s="24" t="n">
        <x:v>48.82</x:v>
      </x:c>
      <x:c r="K207" s="24" t="n">
        <x:v>47.27</x:v>
      </x:c>
      <x:c r="L207" s="24" t="n">
        <x:v>46.77</x:v>
      </x:c>
      <x:c r="M207" s="24" t="n">
        <x:v>46.63</x:v>
      </x:c>
    </x:row>
    <x:row r="208" ht="18" customHeight="1">
      <x:c r="A208" t="n">
        <x:v>205</x:v>
      </x:c>
      <x:c r="B208" t="str">
        <x:v>Karora</x:v>
      </x:c>
      <x:c r="C208" t="str">
        <x:v>Hydro_Committed</x:v>
      </x:c>
      <x:c r="D208" t="n">
        <x:v>126</x:v>
      </x:c>
      <x:c r="E208" s="24" t="n">
        <x:v>71.09</x:v>
      </x:c>
      <x:c r="F208" s="24" t="n">
        <x:v>71.77</x:v>
      </x:c>
      <x:c r="G208" s="24" t="n">
        <x:v>71.9</x:v>
      </x:c>
      <x:c r="H208" s="24" t="n">
        <x:v>71.11</x:v>
      </x:c>
      <x:c r="I208" s="24" t="n">
        <x:v>70.94</x:v>
      </x:c>
      <x:c r="J208" s="24" t="n">
        <x:v>70.81</x:v>
      </x:c>
      <x:c r="K208" s="24" t="n">
        <x:v>69.91</x:v>
      </x:c>
      <x:c r="L208" s="24" t="n">
        <x:v>70.41</x:v>
      </x:c>
      <x:c r="M208" s="24" t="n">
        <x:v>71.07</x:v>
      </x:c>
    </x:row>
    <x:row r="209" ht="18" customHeight="1">
      <x:c r="A209" t="n">
        <x:v>206</x:v>
      </x:c>
      <x:c r="B209" t="str">
        <x:v>Koto</x:v>
      </x:c>
      <x:c r="C209" t="str">
        <x:v>Hydro_Committed</x:v>
      </x:c>
      <x:c r="D209" t="n">
        <x:v>126</x:v>
      </x:c>
      <x:c r="E209" s="24" t="n">
        <x:v>58.36</x:v>
      </x:c>
      <x:c r="F209" s="24" t="n">
        <x:v>58.59</x:v>
      </x:c>
      <x:c r="G209" s="24" t="n">
        <x:v>58.75</x:v>
      </x:c>
      <x:c r="H209" s="24" t="n">
        <x:v>58.42</x:v>
      </x:c>
      <x:c r="I209" s="24" t="n">
        <x:v>58.42</x:v>
      </x:c>
      <x:c r="J209" s="24" t="n">
        <x:v>58.26</x:v>
      </x:c>
      <x:c r="K209" s="24" t="n">
        <x:v>57.53</x:v>
      </x:c>
      <x:c r="L209" s="24" t="n">
        <x:v>57.78</x:v>
      </x:c>
      <x:c r="M209" s="24" t="n">
        <x:v>58.42</x:v>
      </x:c>
    </x:row>
    <x:row r="210" ht="18" customHeight="1">
      <x:c r="A210" t="n">
        <x:v>207</x:v>
      </x:c>
      <x:c r="B210" t="str">
        <x:v>Kurram Tangi</x:v>
      </x:c>
      <x:c r="C210" t="str">
        <x:v>Hydro_Committed</x:v>
      </x:c>
      <x:c r="D210" t="n">
        <x:v>126</x:v>
      </x:c>
      <x:c r="E210" s="24" t="n">
        <x:v>17.05</x:v>
      </x:c>
      <x:c r="F210" s="24" t="n">
        <x:v>17.01</x:v>
      </x:c>
      <x:c r="G210" s="24" t="n">
        <x:v>17.05</x:v>
      </x:c>
      <x:c r="H210" s="24" t="n">
        <x:v>17.05</x:v>
      </x:c>
      <x:c r="I210" s="24" t="n">
        <x:v>17.05</x:v>
      </x:c>
      <x:c r="J210" s="24" t="n">
        <x:v>17.01</x:v>
      </x:c>
      <x:c r="K210" s="24" t="n">
        <x:v>16.93</x:v>
      </x:c>
      <x:c r="L210" s="24" t="n">
        <x:v>16.93</x:v>
      </x:c>
      <x:c r="M210" s="24" t="n">
        <x:v>16.93</x:v>
      </x:c>
    </x:row>
    <x:row r="211" ht="18" customHeight="1">
      <x:c r="A211" t="n">
        <x:v>208</x:v>
      </x:c>
      <x:c r="B211" t="str">
        <x:v>Lawi</x:v>
      </x:c>
      <x:c r="C211" t="str">
        <x:v>Hydro_Committed</x:v>
      </x:c>
      <x:c r="D211" t="n">
        <x:v>126</x:v>
      </x:c>
      <x:c r="E211" s="24" t="n">
        <x:v>48.2</x:v>
      </x:c>
      <x:c r="F211" s="24" t="n">
        <x:v>48.84</x:v>
      </x:c>
      <x:c r="G211" s="24" t="n">
        <x:v>48.96</x:v>
      </x:c>
      <x:c r="H211" s="24" t="n">
        <x:v>48.96</x:v>
      </x:c>
      <x:c r="I211" s="24" t="n">
        <x:v>48.75</x:v>
      </x:c>
      <x:c r="J211" s="24" t="n">
        <x:v>48.57</x:v>
      </x:c>
      <x:c r="K211" s="24" t="n">
        <x:v>48.59</x:v>
      </x:c>
      <x:c r="L211" s="24" t="n">
        <x:v>48.59</x:v>
      </x:c>
      <x:c r="M211" s="24" t="n">
        <x:v>48.81</x:v>
      </x:c>
    </x:row>
    <x:row r="212" ht="18" customHeight="1">
      <x:c r="A212" t="n">
        <x:v>209</x:v>
      </x:c>
      <x:c r="B212" t="str">
        <x:v>Mohmand Dam</x:v>
      </x:c>
      <x:c r="C212" t="str">
        <x:v>Hydro_Committed</x:v>
      </x:c>
      <x:c r="D212" t="n">
        <x:v>126</x:v>
      </x:c>
      <x:c r="E212" s="24" t="n">
        <x:v>0</x:v>
      </x:c>
      <x:c r="F212" s="24" t="n">
        <x:v>56.74</x:v>
      </x:c>
      <x:c r="G212" s="24" t="n">
        <x:v>42.8</x:v>
      </x:c>
      <x:c r="H212" s="24" t="n">
        <x:v>42.68</x:v>
      </x:c>
      <x:c r="I212" s="24" t="n">
        <x:v>42.36</x:v>
      </x:c>
      <x:c r="J212" s="24" t="n">
        <x:v>41.81</x:v>
      </x:c>
      <x:c r="K212" s="24" t="n">
        <x:v>40.73</x:v>
      </x:c>
      <x:c r="L212" s="24" t="n">
        <x:v>40.74</x:v>
      </x:c>
      <x:c r="M212" s="24" t="n">
        <x:v>41.07</x:v>
      </x:c>
    </x:row>
    <x:row r="213" ht="18" customHeight="1">
      <x:c r="A213" t="n">
        <x:v>210</x:v>
      </x:c>
      <x:c r="B213" t="str">
        <x:v>Nardagian</x:v>
      </x:c>
      <x:c r="C213" t="str">
        <x:v>Hydro_Committed</x:v>
      </x:c>
      <x:c r="D213" t="n">
        <x:v>126</x:v>
      </x:c>
      <x:c r="E213" s="24" t="n">
        <x:v>48.25</x:v>
      </x:c>
      <x:c r="F213" s="24" t="n">
        <x:v>48.37</x:v>
      </x:c>
      <x:c r="G213" s="24" t="n">
        <x:v>48.5</x:v>
      </x:c>
      <x:c r="H213" s="24" t="n">
        <x:v>48.5</x:v>
      </x:c>
      <x:c r="I213" s="24" t="n">
        <x:v>48.5</x:v>
      </x:c>
      <x:c r="J213" s="24" t="n">
        <x:v>48.37</x:v>
      </x:c>
      <x:c r="K213" s="24" t="n">
        <x:v>48.5</x:v>
      </x:c>
      <x:c r="L213" s="24" t="n">
        <x:v>48.5</x:v>
      </x:c>
      <x:c r="M213" s="24" t="n">
        <x:v>48.5</x:v>
      </x:c>
    </x:row>
    <x:row r="214" ht="18" customHeight="1">
      <x:c r="A214" t="n">
        <x:v>211</x:v>
      </x:c>
      <x:c r="B214" t="str">
        <x:v>Riali-II</x:v>
      </x:c>
      <x:c r="C214" t="str">
        <x:v>Hydro_Committed</x:v>
      </x:c>
      <x:c r="D214" t="n">
        <x:v>126</x:v>
      </x:c>
      <x:c r="E214" s="24" t="n">
        <x:v>54.66</x:v>
      </x:c>
      <x:c r="F214" s="24" t="n">
        <x:v>54.64</x:v>
      </x:c>
      <x:c r="G214" s="24" t="n">
        <x:v>54.79</x:v>
      </x:c>
      <x:c r="H214" s="24" t="n">
        <x:v>54.79</x:v>
      </x:c>
      <x:c r="I214" s="24" t="n">
        <x:v>54.79</x:v>
      </x:c>
      <x:c r="J214" s="24" t="n">
        <x:v>54.64</x:v>
      </x:c>
      <x:c r="K214" s="24" t="n">
        <x:v>54.77</x:v>
      </x:c>
      <x:c r="L214" s="24" t="n">
        <x:v>54.63</x:v>
      </x:c>
      <x:c r="M214" s="24" t="n">
        <x:v>54.63</x:v>
      </x:c>
    </x:row>
    <x:row r="215" ht="18" customHeight="1">
      <x:c r="A215" t="n">
        <x:v>212</x:v>
      </x:c>
      <x:c r="B215" t="str">
        <x:v>Tarbela_Ext_5</x:v>
      </x:c>
      <x:c r="C215" t="str">
        <x:v>Hydro_Committed</x:v>
      </x:c>
      <x:c r="D215" t="n">
        <x:v>126</x:v>
      </x:c>
      <x:c r="E215" s="24" t="n">
        <x:v>5.39</x:v>
      </x:c>
      <x:c r="F215" s="24" t="n">
        <x:v>10.02</x:v>
      </x:c>
      <x:c r="G215" s="24" t="n">
        <x:v>10.05</x:v>
      </x:c>
      <x:c r="H215" s="24" t="n">
        <x:v>10.05</x:v>
      </x:c>
      <x:c r="I215" s="24" t="n">
        <x:v>10.05</x:v>
      </x:c>
      <x:c r="J215" s="24" t="n">
        <x:v>10.02</x:v>
      </x:c>
      <x:c r="K215" s="24" t="n">
        <x:v>10.05</x:v>
      </x:c>
      <x:c r="L215" s="24" t="n">
        <x:v>10.05</x:v>
      </x:c>
      <x:c r="M215" s="24" t="n">
        <x:v>10.05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169bd940eac490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3" t="str">
        <x:v>REGION × PLANNING YEAR | Installed MW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30" t="str">
        <x:v>All values formula-linked to Plant Register. Unspecified/distributed capacity must not be forced into one province.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4" ht="25" customHeight="1">
      <x:c r="A4" s="32" t="str">
        <x:v>ANNUAL ADDITIONS</x:v>
      </x:c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</x:row>
    <x:row r="5" ht="23" customHeight="1">
      <x:c r="A5" s="35" t="str">
        <x:v>Region</x:v>
      </x:c>
      <x:c r="B5" s="35" t="n">
        <x:v>2025</x:v>
      </x:c>
      <x:c r="C5" s="35" t="n">
        <x:v>2026</x:v>
      </x:c>
      <x:c r="D5" s="35" t="n">
        <x:v>2027</x:v>
      </x:c>
      <x:c r="E5" s="35" t="n">
        <x:v>2028</x:v>
      </x:c>
      <x:c r="F5" s="35" t="n">
        <x:v>2029</x:v>
      </x:c>
      <x:c r="G5" s="35" t="n">
        <x:v>2030</x:v>
      </x:c>
      <x:c r="H5" s="35" t="n">
        <x:v>2031</x:v>
      </x:c>
      <x:c r="I5" s="35" t="n">
        <x:v>2032</x:v>
      </x:c>
      <x:c r="J5" s="35" t="n">
        <x:v>2033</x:v>
      </x:c>
      <x:c r="K5" s="35" t="n">
        <x:v>2034</x:v>
      </x:c>
      <x:c r="L5" s="35" t="n">
        <x:v>2035</x:v>
      </x:c>
    </x:row>
    <x:row r="6">
      <x:c r="A6" t="str">
        <x:v>Punjab</x:v>
      </x:c>
      <x:c r="B6" s="38" t="n">
        <x:f>SUMIFS('Plant Register'!$H$4:$H$215,'Plant Register'!$C$4:$C$215,"Addition",'Plant Register'!$D$4:$D$215,B$5,'Plant Register'!$J$4:$J$215,$A6)</x:f>
        <x:v>0</x:v>
      </x:c>
      <x:c r="C6" s="38" t="n">
        <x:f>SUMIFS('Plant Register'!$H$4:$H$215,'Plant Register'!$C$4:$C$215,"Addition",'Plant Register'!$D$4:$D$215,C$5,'Plant Register'!$J$4:$J$215,$A6)</x:f>
        <x:v>0</x:v>
      </x:c>
      <x:c r="D6" s="38" t="n">
        <x:f>SUMIFS('Plant Register'!$H$4:$H$215,'Plant Register'!$C$4:$C$215,"Addition",'Plant Register'!$D$4:$D$215,D$5,'Plant Register'!$J$4:$J$215,$A6)</x:f>
        <x:v>0</x:v>
      </x:c>
      <x:c r="E6" s="38" t="n">
        <x:f>SUMIFS('Plant Register'!$H$4:$H$215,'Plant Register'!$C$4:$C$215,"Addition",'Plant Register'!$D$4:$D$215,E$5,'Plant Register'!$J$4:$J$215,$A6)</x:f>
        <x:v>0</x:v>
      </x:c>
      <x:c r="F6" s="38" t="n">
        <x:f>SUMIFS('Plant Register'!$H$4:$H$215,'Plant Register'!$C$4:$C$215,"Addition",'Plant Register'!$D$4:$D$215,F$5,'Plant Register'!$J$4:$J$215,$A6)</x:f>
        <x:v>0</x:v>
      </x:c>
      <x:c r="G6" s="38" t="n">
        <x:f>SUMIFS('Plant Register'!$H$4:$H$215,'Plant Register'!$C$4:$C$215,"Addition",'Plant Register'!$D$4:$D$215,G$5,'Plant Register'!$J$4:$J$215,$A6)</x:f>
        <x:v>0</x:v>
      </x:c>
      <x:c r="H6" s="38" t="n">
        <x:f>SUMIFS('Plant Register'!$H$4:$H$215,'Plant Register'!$C$4:$C$215,"Addition",'Plant Register'!$D$4:$D$215,H$5,'Plant Register'!$J$4:$J$215,$A6)</x:f>
        <x:v>0</x:v>
      </x:c>
      <x:c r="I6" s="38" t="n">
        <x:f>SUMIFS('Plant Register'!$H$4:$H$215,'Plant Register'!$C$4:$C$215,"Addition",'Plant Register'!$D$4:$D$215,I$5,'Plant Register'!$J$4:$J$215,$A6)</x:f>
        <x:v>1200</x:v>
      </x:c>
      <x:c r="J6" s="38" t="n">
        <x:f>SUMIFS('Plant Register'!$H$4:$H$215,'Plant Register'!$C$4:$C$215,"Addition",'Plant Register'!$D$4:$D$215,J$5,'Plant Register'!$J$4:$J$215,$A6)</x:f>
        <x:v>0</x:v>
      </x:c>
      <x:c r="K6" s="38" t="n">
        <x:f>SUMIFS('Plant Register'!$H$4:$H$215,'Plant Register'!$C$4:$C$215,"Addition",'Plant Register'!$D$4:$D$215,K$5,'Plant Register'!$J$4:$J$215,$A6)</x:f>
        <x:v>0</x:v>
      </x:c>
      <x:c r="L6" s="38" t="n">
        <x:f>SUMIFS('Plant Register'!$H$4:$H$215,'Plant Register'!$C$4:$C$215,"Addition",'Plant Register'!$D$4:$D$215,L$5,'Plant Register'!$J$4:$J$215,$A6)</x:f>
        <x:v>0</x:v>
      </x:c>
    </x:row>
    <x:row r="7">
      <x:c r="A7" t="str">
        <x:v>Sindh</x:v>
      </x:c>
      <x:c r="B7" s="38" t="n">
        <x:f>SUMIFS('Plant Register'!$H$4:$H$215,'Plant Register'!$C$4:$C$215,"Addition",'Plant Register'!$D$4:$D$215,B$5,'Plant Register'!$J$4:$J$215,$A7)</x:f>
        <x:v>0</x:v>
      </x:c>
      <x:c r="C7" s="38" t="n">
        <x:f>SUMIFS('Plant Register'!$H$4:$H$215,'Plant Register'!$C$4:$C$215,"Addition",'Plant Register'!$D$4:$D$215,C$5,'Plant Register'!$J$4:$J$215,$A7)</x:f>
        <x:v>0</x:v>
      </x:c>
      <x:c r="D7" s="38" t="n">
        <x:f>SUMIFS('Plant Register'!$H$4:$H$215,'Plant Register'!$C$4:$C$215,"Addition",'Plant Register'!$D$4:$D$215,D$5,'Plant Register'!$J$4:$J$215,$A7)</x:f>
        <x:v>0</x:v>
      </x:c>
      <x:c r="E7" s="38" t="n">
        <x:f>SUMIFS('Plant Register'!$H$4:$H$215,'Plant Register'!$C$4:$C$215,"Addition",'Plant Register'!$D$4:$D$215,E$5,'Plant Register'!$J$4:$J$215,$A7)</x:f>
        <x:v>0</x:v>
      </x:c>
      <x:c r="F7" s="38" t="n">
        <x:f>SUMIFS('Plant Register'!$H$4:$H$215,'Plant Register'!$C$4:$C$215,"Addition",'Plant Register'!$D$4:$D$215,F$5,'Plant Register'!$J$4:$J$215,$A7)</x:f>
        <x:v>0</x:v>
      </x:c>
      <x:c r="G7" s="38" t="n">
        <x:f>SUMIFS('Plant Register'!$H$4:$H$215,'Plant Register'!$C$4:$C$215,"Addition",'Plant Register'!$D$4:$D$215,G$5,'Plant Register'!$J$4:$J$215,$A7)</x:f>
        <x:v>0</x:v>
      </x:c>
      <x:c r="H7" s="38" t="n">
        <x:f>SUMIFS('Plant Register'!$H$4:$H$215,'Plant Register'!$C$4:$C$215,"Addition",'Plant Register'!$D$4:$D$215,H$5,'Plant Register'!$J$4:$J$215,$A7)</x:f>
        <x:v>0</x:v>
      </x:c>
      <x:c r="I7" s="38" t="n">
        <x:f>SUMIFS('Plant Register'!$H$4:$H$215,'Plant Register'!$C$4:$C$215,"Addition",'Plant Register'!$D$4:$D$215,I$5,'Plant Register'!$J$4:$J$215,$A7)</x:f>
        <x:v>0</x:v>
      </x:c>
      <x:c r="J7" s="38" t="n">
        <x:f>SUMIFS('Plant Register'!$H$4:$H$215,'Plant Register'!$C$4:$C$215,"Addition",'Plant Register'!$D$4:$D$215,J$5,'Plant Register'!$J$4:$J$215,$A7)</x:f>
        <x:v>0</x:v>
      </x:c>
      <x:c r="K7" s="38" t="n">
        <x:f>SUMIFS('Plant Register'!$H$4:$H$215,'Plant Register'!$C$4:$C$215,"Addition",'Plant Register'!$D$4:$D$215,K$5,'Plant Register'!$J$4:$J$215,$A7)</x:f>
        <x:v>0</x:v>
      </x:c>
      <x:c r="L7" s="38" t="n">
        <x:f>SUMIFS('Plant Register'!$H$4:$H$215,'Plant Register'!$C$4:$C$215,"Addition",'Plant Register'!$D$4:$D$215,L$5,'Plant Register'!$J$4:$J$215,$A7)</x:f>
        <x:v>0</x:v>
      </x:c>
    </x:row>
    <x:row r="8">
      <x:c r="A8" t="str">
        <x:v>Khyber Pakhtunkhwa</x:v>
      </x:c>
      <x:c r="B8" s="38" t="n">
        <x:f>SUMIFS('Plant Register'!$H$4:$H$215,'Plant Register'!$C$4:$C$215,"Addition",'Plant Register'!$D$4:$D$215,B$5,'Plant Register'!$J$4:$J$215,$A8)</x:f>
        <x:v>149.8</x:v>
      </x:c>
      <x:c r="C8" s="38" t="n">
        <x:f>SUMIFS('Plant Register'!$H$4:$H$215,'Plant Register'!$C$4:$C$215,"Addition",'Plant Register'!$D$4:$D$215,C$5,'Plant Register'!$J$4:$J$215,$A8)</x:f>
        <x:v>84</x:v>
      </x:c>
      <x:c r="D8" s="38" t="n">
        <x:f>SUMIFS('Plant Register'!$H$4:$H$215,'Plant Register'!$C$4:$C$215,"Addition",'Plant Register'!$D$4:$D$215,D$5,'Plant Register'!$J$4:$J$215,$A8)</x:f>
        <x:v>1890</x:v>
      </x:c>
      <x:c r="E8" s="38" t="n">
        <x:f>SUMIFS('Plant Register'!$H$4:$H$215,'Plant Register'!$C$4:$C$215,"Addition",'Plant Register'!$D$4:$D$215,E$5,'Plant Register'!$J$4:$J$215,$A8)</x:f>
        <x:v>2900</x:v>
      </x:c>
      <x:c r="F8" s="38" t="n">
        <x:f>SUMIFS('Plant Register'!$H$4:$H$215,'Plant Register'!$C$4:$C$215,"Addition",'Plant Register'!$D$4:$D$215,F$5,'Plant Register'!$J$4:$J$215,$A8)</x:f>
        <x:v>0</x:v>
      </x:c>
      <x:c r="G8" s="38" t="n">
        <x:f>SUMIFS('Plant Register'!$H$4:$H$215,'Plant Register'!$C$4:$C$215,"Addition",'Plant Register'!$D$4:$D$215,G$5,'Plant Register'!$J$4:$J$215,$A8)</x:f>
        <x:v>0</x:v>
      </x:c>
      <x:c r="H8" s="38" t="n">
        <x:f>SUMIFS('Plant Register'!$H$4:$H$215,'Plant Register'!$C$4:$C$215,"Addition",'Plant Register'!$D$4:$D$215,H$5,'Plant Register'!$J$4:$J$215,$A8)</x:f>
        <x:v>0</x:v>
      </x:c>
      <x:c r="I8" s="38" t="n">
        <x:f>SUMIFS('Plant Register'!$H$4:$H$215,'Plant Register'!$C$4:$C$215,"Addition",'Plant Register'!$D$4:$D$215,I$5,'Plant Register'!$J$4:$J$215,$A8)</x:f>
        <x:v>0</x:v>
      </x:c>
      <x:c r="J8" s="38" t="n">
        <x:f>SUMIFS('Plant Register'!$H$4:$H$215,'Plant Register'!$C$4:$C$215,"Addition",'Plant Register'!$D$4:$D$215,J$5,'Plant Register'!$J$4:$J$215,$A8)</x:f>
        <x:v>0</x:v>
      </x:c>
      <x:c r="K8" s="38" t="n">
        <x:f>SUMIFS('Plant Register'!$H$4:$H$215,'Plant Register'!$C$4:$C$215,"Addition",'Plant Register'!$D$4:$D$215,K$5,'Plant Register'!$J$4:$J$215,$A8)</x:f>
        <x:v>0</x:v>
      </x:c>
      <x:c r="L8" s="38" t="n">
        <x:f>SUMIFS('Plant Register'!$H$4:$H$215,'Plant Register'!$C$4:$C$215,"Addition",'Plant Register'!$D$4:$D$215,L$5,'Plant Register'!$J$4:$J$215,$A8)</x:f>
        <x:v>0</x:v>
      </x:c>
    </x:row>
    <x:row r="9">
      <x:c r="A9" t="str">
        <x:v>Balochistan</x:v>
      </x:c>
      <x:c r="B9" s="38" t="n">
        <x:f>SUMIFS('Plant Register'!$H$4:$H$215,'Plant Register'!$C$4:$C$215,"Addition",'Plant Register'!$D$4:$D$215,B$5,'Plant Register'!$J$4:$J$215,$A9)</x:f>
        <x:v>0</x:v>
      </x:c>
      <x:c r="C9" s="38" t="n">
        <x:f>SUMIFS('Plant Register'!$H$4:$H$215,'Plant Register'!$C$4:$C$215,"Addition",'Plant Register'!$D$4:$D$215,C$5,'Plant Register'!$J$4:$J$215,$A9)</x:f>
        <x:v>0</x:v>
      </x:c>
      <x:c r="D9" s="38" t="n">
        <x:f>SUMIFS('Plant Register'!$H$4:$H$215,'Plant Register'!$C$4:$C$215,"Addition",'Plant Register'!$D$4:$D$215,D$5,'Plant Register'!$J$4:$J$215,$A9)</x:f>
        <x:v>0</x:v>
      </x:c>
      <x:c r="E9" s="38" t="n">
        <x:f>SUMIFS('Plant Register'!$H$4:$H$215,'Plant Register'!$C$4:$C$215,"Addition",'Plant Register'!$D$4:$D$215,E$5,'Plant Register'!$J$4:$J$215,$A9)</x:f>
        <x:v>0</x:v>
      </x:c>
      <x:c r="F9" s="38" t="n">
        <x:f>SUMIFS('Plant Register'!$H$4:$H$215,'Plant Register'!$C$4:$C$215,"Addition",'Plant Register'!$D$4:$D$215,F$5,'Plant Register'!$J$4:$J$215,$A9)</x:f>
        <x:v>0</x:v>
      </x:c>
      <x:c r="G9" s="38" t="n">
        <x:f>SUMIFS('Plant Register'!$H$4:$H$215,'Plant Register'!$C$4:$C$215,"Addition",'Plant Register'!$D$4:$D$215,G$5,'Plant Register'!$J$4:$J$215,$A9)</x:f>
        <x:v>0</x:v>
      </x:c>
      <x:c r="H9" s="38" t="n">
        <x:f>SUMIFS('Plant Register'!$H$4:$H$215,'Plant Register'!$C$4:$C$215,"Addition",'Plant Register'!$D$4:$D$215,H$5,'Plant Register'!$J$4:$J$215,$A9)</x:f>
        <x:v>0</x:v>
      </x:c>
      <x:c r="I9" s="38" t="n">
        <x:f>SUMIFS('Plant Register'!$H$4:$H$215,'Plant Register'!$C$4:$C$215,"Addition",'Plant Register'!$D$4:$D$215,I$5,'Plant Register'!$J$4:$J$215,$A9)</x:f>
        <x:v>0</x:v>
      </x:c>
      <x:c r="J9" s="38" t="n">
        <x:f>SUMIFS('Plant Register'!$H$4:$H$215,'Plant Register'!$C$4:$C$215,"Addition",'Plant Register'!$D$4:$D$215,J$5,'Plant Register'!$J$4:$J$215,$A9)</x:f>
        <x:v>0</x:v>
      </x:c>
      <x:c r="K9" s="38" t="n">
        <x:f>SUMIFS('Plant Register'!$H$4:$H$215,'Plant Register'!$C$4:$C$215,"Addition",'Plant Register'!$D$4:$D$215,K$5,'Plant Register'!$J$4:$J$215,$A9)</x:f>
        <x:v>0</x:v>
      </x:c>
      <x:c r="L9" s="38" t="n">
        <x:f>SUMIFS('Plant Register'!$H$4:$H$215,'Plant Register'!$C$4:$C$215,"Addition",'Plant Register'!$D$4:$D$215,L$5,'Plant Register'!$J$4:$J$215,$A9)</x:f>
        <x:v>0</x:v>
      </x:c>
    </x:row>
    <x:row r="10">
      <x:c r="A10" t="str">
        <x:v>Gilgit-Baltistan</x:v>
      </x:c>
      <x:c r="B10" s="38" t="n">
        <x:f>SUMIFS('Plant Register'!$H$4:$H$215,'Plant Register'!$C$4:$C$215,"Addition",'Plant Register'!$D$4:$D$215,B$5,'Plant Register'!$J$4:$J$215,$A10)</x:f>
        <x:v>0</x:v>
      </x:c>
      <x:c r="C10" s="38" t="n">
        <x:f>SUMIFS('Plant Register'!$H$4:$H$215,'Plant Register'!$C$4:$C$215,"Addition",'Plant Register'!$D$4:$D$215,C$5,'Plant Register'!$J$4:$J$215,$A10)</x:f>
        <x:v>0</x:v>
      </x:c>
      <x:c r="D10" s="38" t="n">
        <x:f>SUMIFS('Plant Register'!$H$4:$H$215,'Plant Register'!$C$4:$C$215,"Addition",'Plant Register'!$D$4:$D$215,D$5,'Plant Register'!$J$4:$J$215,$A10)</x:f>
        <x:v>0</x:v>
      </x:c>
      <x:c r="E10" s="38" t="n">
        <x:f>SUMIFS('Plant Register'!$H$4:$H$215,'Plant Register'!$C$4:$C$215,"Addition",'Plant Register'!$D$4:$D$215,E$5,'Plant Register'!$J$4:$J$215,$A10)</x:f>
        <x:v>0</x:v>
      </x:c>
      <x:c r="F10" s="38" t="n">
        <x:f>SUMIFS('Plant Register'!$H$4:$H$215,'Plant Register'!$C$4:$C$215,"Addition",'Plant Register'!$D$4:$D$215,F$5,'Plant Register'!$J$4:$J$215,$A10)</x:f>
        <x:v>0</x:v>
      </x:c>
      <x:c r="G10" s="38" t="n">
        <x:f>SUMIFS('Plant Register'!$H$4:$H$215,'Plant Register'!$C$4:$C$215,"Addition",'Plant Register'!$D$4:$D$215,G$5,'Plant Register'!$J$4:$J$215,$A10)</x:f>
        <x:v>0</x:v>
      </x:c>
      <x:c r="H10" s="38" t="n">
        <x:f>SUMIFS('Plant Register'!$H$4:$H$215,'Plant Register'!$C$4:$C$215,"Addition",'Plant Register'!$D$4:$D$215,H$5,'Plant Register'!$J$4:$J$215,$A10)</x:f>
        <x:v>0</x:v>
      </x:c>
      <x:c r="I10" s="38" t="n">
        <x:f>SUMIFS('Plant Register'!$H$4:$H$215,'Plant Register'!$C$4:$C$215,"Addition",'Plant Register'!$D$4:$D$215,I$5,'Plant Register'!$J$4:$J$215,$A10)</x:f>
        <x:v>0</x:v>
      </x:c>
      <x:c r="J10" s="38" t="n">
        <x:f>SUMIFS('Plant Register'!$H$4:$H$215,'Plant Register'!$C$4:$C$215,"Addition",'Plant Register'!$D$4:$D$215,J$5,'Plant Register'!$J$4:$J$215,$A10)</x:f>
        <x:v>1500</x:v>
      </x:c>
      <x:c r="K10" s="38" t="n">
        <x:f>SUMIFS('Plant Register'!$H$4:$H$215,'Plant Register'!$C$4:$C$215,"Addition",'Plant Register'!$D$4:$D$215,K$5,'Plant Register'!$J$4:$J$215,$A10)</x:f>
        <x:v>1500</x:v>
      </x:c>
      <x:c r="L10" s="38" t="n">
        <x:f>SUMIFS('Plant Register'!$H$4:$H$215,'Plant Register'!$C$4:$C$215,"Addition",'Plant Register'!$D$4:$D$215,L$5,'Plant Register'!$J$4:$J$215,$A10)</x:f>
        <x:v>1500</x:v>
      </x:c>
    </x:row>
    <x:row r="11">
      <x:c r="A11" t="str">
        <x:v>Azad Jammu &amp; Kashmir</x:v>
      </x:c>
      <x:c r="B11" s="38" t="n">
        <x:f>SUMIFS('Plant Register'!$H$4:$H$215,'Plant Register'!$C$4:$C$215,"Addition",'Plant Register'!$D$4:$D$215,B$5,'Plant Register'!$J$4:$J$215,$A11)</x:f>
        <x:v>58.22</x:v>
      </x:c>
      <x:c r="C11" s="38" t="n">
        <x:f>SUMIFS('Plant Register'!$H$4:$H$215,'Plant Register'!$C$4:$C$215,"Addition",'Plant Register'!$D$4:$D$215,C$5,'Plant Register'!$J$4:$J$215,$A11)</x:f>
        <x:v>73.22</x:v>
      </x:c>
      <x:c r="D11" s="38" t="n">
        <x:f>SUMIFS('Plant Register'!$H$4:$H$215,'Plant Register'!$C$4:$C$215,"Addition",'Plant Register'!$D$4:$D$215,D$5,'Plant Register'!$J$4:$J$215,$A11)</x:f>
        <x:v>70</x:v>
      </x:c>
      <x:c r="E11" s="38" t="n">
        <x:f>SUMIFS('Plant Register'!$H$4:$H$215,'Plant Register'!$C$4:$C$215,"Addition",'Plant Register'!$D$4:$D$215,E$5,'Plant Register'!$J$4:$J$215,$A11)</x:f>
        <x:v>0</x:v>
      </x:c>
      <x:c r="F11" s="38" t="n">
        <x:f>SUMIFS('Plant Register'!$H$4:$H$215,'Plant Register'!$C$4:$C$215,"Addition",'Plant Register'!$D$4:$D$215,F$5,'Plant Register'!$J$4:$J$215,$A11)</x:f>
        <x:v>30</x:v>
      </x:c>
      <x:c r="G11" s="38" t="n">
        <x:f>SUMIFS('Plant Register'!$H$4:$H$215,'Plant Register'!$C$4:$C$215,"Addition",'Plant Register'!$D$4:$D$215,G$5,'Plant Register'!$J$4:$J$215,$A11)</x:f>
        <x:v>0</x:v>
      </x:c>
      <x:c r="H11" s="38" t="n">
        <x:f>SUMIFS('Plant Register'!$H$4:$H$215,'Plant Register'!$C$4:$C$215,"Addition",'Plant Register'!$D$4:$D$215,H$5,'Plant Register'!$J$4:$J$215,$A11)</x:f>
        <x:v>0</x:v>
      </x:c>
      <x:c r="I11" s="38" t="n">
        <x:f>SUMIFS('Plant Register'!$H$4:$H$215,'Plant Register'!$C$4:$C$215,"Addition",'Plant Register'!$D$4:$D$215,I$5,'Plant Register'!$J$4:$J$215,$A11)</x:f>
        <x:v>0</x:v>
      </x:c>
      <x:c r="J11" s="38" t="n">
        <x:f>SUMIFS('Plant Register'!$H$4:$H$215,'Plant Register'!$C$4:$C$215,"Addition",'Plant Register'!$D$4:$D$215,J$5,'Plant Register'!$J$4:$J$215,$A11)</x:f>
        <x:v>5.2</x:v>
      </x:c>
      <x:c r="K11" s="38" t="n">
        <x:f>SUMIFS('Plant Register'!$H$4:$H$215,'Plant Register'!$C$4:$C$215,"Addition",'Plant Register'!$D$4:$D$215,K$5,'Plant Register'!$J$4:$J$215,$A11)</x:f>
        <x:v>0</x:v>
      </x:c>
      <x:c r="L11" s="38" t="n">
        <x:f>SUMIFS('Plant Register'!$H$4:$H$215,'Plant Register'!$C$4:$C$215,"Addition",'Plant Register'!$D$4:$D$215,L$5,'Plant Register'!$J$4:$J$215,$A11)</x:f>
        <x:v>0</x:v>
      </x:c>
    </x:row>
    <x:row r="12">
      <x:c r="A12" t="str">
        <x:v>Islamabad Capital Territory</x:v>
      </x:c>
      <x:c r="B12" s="38" t="n">
        <x:f>SUMIFS('Plant Register'!$H$4:$H$215,'Plant Register'!$C$4:$C$215,"Addition",'Plant Register'!$D$4:$D$215,B$5,'Plant Register'!$J$4:$J$215,$A12)</x:f>
        <x:v>0</x:v>
      </x:c>
      <x:c r="C12" s="38" t="n">
        <x:f>SUMIFS('Plant Register'!$H$4:$H$215,'Plant Register'!$C$4:$C$215,"Addition",'Plant Register'!$D$4:$D$215,C$5,'Plant Register'!$J$4:$J$215,$A12)</x:f>
        <x:v>0</x:v>
      </x:c>
      <x:c r="D12" s="38" t="n">
        <x:f>SUMIFS('Plant Register'!$H$4:$H$215,'Plant Register'!$C$4:$C$215,"Addition",'Plant Register'!$D$4:$D$215,D$5,'Plant Register'!$J$4:$J$215,$A12)</x:f>
        <x:v>0</x:v>
      </x:c>
      <x:c r="E12" s="38" t="n">
        <x:f>SUMIFS('Plant Register'!$H$4:$H$215,'Plant Register'!$C$4:$C$215,"Addition",'Plant Register'!$D$4:$D$215,E$5,'Plant Register'!$J$4:$J$215,$A12)</x:f>
        <x:v>0</x:v>
      </x:c>
      <x:c r="F12" s="38" t="n">
        <x:f>SUMIFS('Plant Register'!$H$4:$H$215,'Plant Register'!$C$4:$C$215,"Addition",'Plant Register'!$D$4:$D$215,F$5,'Plant Register'!$J$4:$J$215,$A12)</x:f>
        <x:v>0</x:v>
      </x:c>
      <x:c r="G12" s="38" t="n">
        <x:f>SUMIFS('Plant Register'!$H$4:$H$215,'Plant Register'!$C$4:$C$215,"Addition",'Plant Register'!$D$4:$D$215,G$5,'Plant Register'!$J$4:$J$215,$A12)</x:f>
        <x:v>0</x:v>
      </x:c>
      <x:c r="H12" s="38" t="n">
        <x:f>SUMIFS('Plant Register'!$H$4:$H$215,'Plant Register'!$C$4:$C$215,"Addition",'Plant Register'!$D$4:$D$215,H$5,'Plant Register'!$J$4:$J$215,$A12)</x:f>
        <x:v>0</x:v>
      </x:c>
      <x:c r="I12" s="38" t="n">
        <x:f>SUMIFS('Plant Register'!$H$4:$H$215,'Plant Register'!$C$4:$C$215,"Addition",'Plant Register'!$D$4:$D$215,I$5,'Plant Register'!$J$4:$J$215,$A12)</x:f>
        <x:v>0</x:v>
      </x:c>
      <x:c r="J12" s="38" t="n">
        <x:f>SUMIFS('Plant Register'!$H$4:$H$215,'Plant Register'!$C$4:$C$215,"Addition",'Plant Register'!$D$4:$D$215,J$5,'Plant Register'!$J$4:$J$215,$A12)</x:f>
        <x:v>0</x:v>
      </x:c>
      <x:c r="K12" s="38" t="n">
        <x:f>SUMIFS('Plant Register'!$H$4:$H$215,'Plant Register'!$C$4:$C$215,"Addition",'Plant Register'!$D$4:$D$215,K$5,'Plant Register'!$J$4:$J$215,$A12)</x:f>
        <x:v>0</x:v>
      </x:c>
      <x:c r="L12" s="38" t="n">
        <x:f>SUMIFS('Plant Register'!$H$4:$H$215,'Plant Register'!$C$4:$C$215,"Addition",'Plant Register'!$D$4:$D$215,L$5,'Plant Register'!$J$4:$J$215,$A12)</x:f>
        <x:v>0</x:v>
      </x:c>
    </x:row>
    <x:row r="13">
      <x:c r="A13" t="str">
        <x:v>Unspecified / distributed</x:v>
      </x:c>
      <x:c r="B13" s="38" t="n">
        <x:f>SUMIFS('Plant Register'!$H$4:$H$215,'Plant Register'!$C$4:$C$215,"Addition",'Plant Register'!$D$4:$D$215,B$5,'Plant Register'!$J$4:$J$215,$A13)</x:f>
        <x:v>2400</x:v>
      </x:c>
      <x:c r="C13" s="38" t="n">
        <x:f>SUMIFS('Plant Register'!$H$4:$H$215,'Plant Register'!$C$4:$C$215,"Addition",'Plant Register'!$D$4:$D$215,C$5,'Plant Register'!$J$4:$J$215,$A13)</x:f>
        <x:v>1200</x:v>
      </x:c>
      <x:c r="D13" s="38" t="n">
        <x:f>SUMIFS('Plant Register'!$H$4:$H$215,'Plant Register'!$C$4:$C$215,"Addition",'Plant Register'!$D$4:$D$215,D$5,'Plant Register'!$J$4:$J$215,$A13)</x:f>
        <x:v>1651.1000000000001</x:v>
      </x:c>
      <x:c r="E13" s="38" t="n">
        <x:f>SUMIFS('Plant Register'!$H$4:$H$215,'Plant Register'!$C$4:$C$215,"Addition",'Plant Register'!$D$4:$D$215,E$5,'Plant Register'!$J$4:$J$215,$A13)</x:f>
        <x:v>2589.7</x:v>
      </x:c>
      <x:c r="F13" s="38" t="n">
        <x:f>SUMIFS('Plant Register'!$H$4:$H$215,'Plant Register'!$C$4:$C$215,"Addition",'Plant Register'!$D$4:$D$215,F$5,'Plant Register'!$J$4:$J$215,$A13)</x:f>
        <x:v>1389.7</x:v>
      </x:c>
      <x:c r="G13" s="38" t="n">
        <x:f>SUMIFS('Plant Register'!$H$4:$H$215,'Plant Register'!$C$4:$C$215,"Addition",'Plant Register'!$D$4:$D$215,G$5,'Plant Register'!$J$4:$J$215,$A13)</x:f>
        <x:v>1433.6999999999998</x:v>
      </x:c>
      <x:c r="H13" s="38" t="n">
        <x:f>SUMIFS('Plant Register'!$H$4:$H$215,'Plant Register'!$C$4:$C$215,"Addition",'Plant Register'!$D$4:$D$215,H$5,'Plant Register'!$J$4:$J$215,$A13)</x:f>
        <x:v>1375.8</x:v>
      </x:c>
      <x:c r="I13" s="38" t="n">
        <x:f>SUMIFS('Plant Register'!$H$4:$H$215,'Plant Register'!$C$4:$C$215,"Addition",'Plant Register'!$D$4:$D$215,I$5,'Plant Register'!$J$4:$J$215,$A13)</x:f>
        <x:v>500</x:v>
      </x:c>
      <x:c r="J13" s="38" t="n">
        <x:f>SUMIFS('Plant Register'!$H$4:$H$215,'Plant Register'!$C$4:$C$215,"Addition",'Plant Register'!$D$4:$D$215,J$5,'Plant Register'!$J$4:$J$215,$A13)</x:f>
        <x:v>2025</x:v>
      </x:c>
      <x:c r="K13" s="38" t="n">
        <x:f>SUMIFS('Plant Register'!$H$4:$H$215,'Plant Register'!$C$4:$C$215,"Addition",'Plant Register'!$D$4:$D$215,K$5,'Plant Register'!$J$4:$J$215,$A13)</x:f>
        <x:v>241</x:v>
      </x:c>
      <x:c r="L13" s="38" t="n">
        <x:f>SUMIFS('Plant Register'!$H$4:$H$215,'Plant Register'!$C$4:$C$215,"Addition",'Plant Register'!$D$4:$D$215,L$5,'Plant Register'!$J$4:$J$215,$A13)</x:f>
        <x:v>279</x:v>
      </x:c>
    </x:row>
    <x:row r="14">
      <x:c r="A14" s="41" t="str">
        <x:v>ALL REGIONS</x:v>
      </x:c>
      <x:c r="B14" s="41" t="n">
        <x:f>SUM(B6:B13)</x:f>
        <x:v>2608.02</x:v>
      </x:c>
      <x:c r="C14" s="41" t="n">
        <x:f>SUM(C6:C13)</x:f>
        <x:v>1357.22</x:v>
      </x:c>
      <x:c r="D14" s="41" t="n">
        <x:f>SUM(D6:D13)</x:f>
        <x:v>3611.1000000000004</x:v>
      </x:c>
      <x:c r="E14" s="41" t="n">
        <x:f>SUM(E6:E13)</x:f>
        <x:v>5489.7</x:v>
      </x:c>
      <x:c r="F14" s="41" t="n">
        <x:f>SUM(F6:F13)</x:f>
        <x:v>1419.7</x:v>
      </x:c>
      <x:c r="G14" s="41" t="n">
        <x:f>SUM(G6:G13)</x:f>
        <x:v>1433.6999999999998</x:v>
      </x:c>
      <x:c r="H14" s="41" t="n">
        <x:f>SUM(H6:H13)</x:f>
        <x:v>1375.8</x:v>
      </x:c>
      <x:c r="I14" s="41" t="n">
        <x:f>SUM(I6:I13)</x:f>
        <x:v>1700</x:v>
      </x:c>
      <x:c r="J14" s="41" t="n">
        <x:f>SUM(J6:J13)</x:f>
        <x:v>3530.2</x:v>
      </x:c>
      <x:c r="K14" s="41" t="n">
        <x:f>SUM(K6:K13)</x:f>
        <x:v>1741</x:v>
      </x:c>
      <x:c r="L14" s="41" t="n">
        <x:f>SUM(L6:L13)</x:f>
        <x:v>1779</x:v>
      </x:c>
    </x:row>
    <x:row r="17" ht="25" customHeight="1">
      <x:c r="A17" s="32" t="str">
        <x:v>ANNUAL RETIREMENTS</x:v>
      </x:c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 ht="23" customHeight="1">
      <x:c r="A18" s="35" t="str">
        <x:v>Region</x:v>
      </x:c>
      <x:c r="B18" s="35" t="n">
        <x:v>2025</x:v>
      </x:c>
      <x:c r="C18" s="35" t="n">
        <x:v>2026</x:v>
      </x:c>
      <x:c r="D18" s="35" t="n">
        <x:v>2027</x:v>
      </x:c>
      <x:c r="E18" s="35" t="n">
        <x:v>2028</x:v>
      </x:c>
      <x:c r="F18" s="35" t="n">
        <x:v>2029</x:v>
      </x:c>
      <x:c r="G18" s="35" t="n">
        <x:v>2030</x:v>
      </x:c>
      <x:c r="H18" s="35" t="n">
        <x:v>2031</x:v>
      </x:c>
      <x:c r="I18" s="35" t="n">
        <x:v>2032</x:v>
      </x:c>
      <x:c r="J18" s="35" t="n">
        <x:v>2033</x:v>
      </x:c>
      <x:c r="K18" s="35" t="n">
        <x:v>2034</x:v>
      </x:c>
      <x:c r="L18" s="35" t="n">
        <x:v>2035</x:v>
      </x:c>
    </x:row>
    <x:row r="19">
      <x:c r="A19" t="str">
        <x:v>Punjab</x:v>
      </x:c>
      <x:c r="B19" s="38" t="n">
        <x:f>SUMIFS('Plant Register'!$H$4:$H$215,'Plant Register'!$C$4:$C$215,"Retirement",'Plant Register'!$D$4:$D$215,B$18,'Plant Register'!$J$4:$J$215,$A19)</x:f>
        <x:v>0</x:v>
      </x:c>
      <x:c r="C19" s="38" t="n">
        <x:f>SUMIFS('Plant Register'!$H$4:$H$215,'Plant Register'!$C$4:$C$215,"Retirement",'Plant Register'!$D$4:$D$215,C$18,'Plant Register'!$J$4:$J$215,$A19)</x:f>
        <x:v>0</x:v>
      </x:c>
      <x:c r="D19" s="38" t="n">
        <x:f>SUMIFS('Plant Register'!$H$4:$H$215,'Plant Register'!$C$4:$C$215,"Retirement",'Plant Register'!$D$4:$D$215,D$18,'Plant Register'!$J$4:$J$215,$A19)</x:f>
        <x:v>0</x:v>
      </x:c>
      <x:c r="E19" s="38" t="n">
        <x:f>SUMIFS('Plant Register'!$H$4:$H$215,'Plant Register'!$C$4:$C$215,"Retirement",'Plant Register'!$D$4:$D$215,E$18,'Plant Register'!$J$4:$J$215,$A19)</x:f>
        <x:v>131</x:v>
      </x:c>
      <x:c r="F19" s="38" t="n">
        <x:f>SUMIFS('Plant Register'!$H$4:$H$215,'Plant Register'!$C$4:$C$215,"Retirement",'Plant Register'!$D$4:$D$215,F$18,'Plant Register'!$J$4:$J$215,$A19)</x:f>
        <x:v>495</x:v>
      </x:c>
      <x:c r="G19" s="38" t="n">
        <x:f>SUMIFS('Plant Register'!$H$4:$H$215,'Plant Register'!$C$4:$C$215,"Retirement",'Plant Register'!$D$4:$D$215,G$18,'Plant Register'!$J$4:$J$215,$A19)</x:f>
        <x:v>0</x:v>
      </x:c>
      <x:c r="H19" s="38" t="n">
        <x:f>SUMIFS('Plant Register'!$H$4:$H$215,'Plant Register'!$C$4:$C$215,"Retirement",'Plant Register'!$D$4:$D$215,H$18,'Plant Register'!$J$4:$J$215,$A19)</x:f>
        <x:v>0</x:v>
      </x:c>
      <x:c r="I19" s="38" t="n">
        <x:f>SUMIFS('Plant Register'!$H$4:$H$215,'Plant Register'!$C$4:$C$215,"Retirement",'Plant Register'!$D$4:$D$215,I$18,'Plant Register'!$J$4:$J$215,$A19)</x:f>
        <x:v>157</x:v>
      </x:c>
      <x:c r="J19" s="38" t="n">
        <x:f>SUMIFS('Plant Register'!$H$4:$H$215,'Plant Register'!$C$4:$C$215,"Retirement",'Plant Register'!$D$4:$D$215,J$18,'Plant Register'!$J$4:$J$215,$A19)</x:f>
        <x:v>0</x:v>
      </x:c>
      <x:c r="K19" s="38" t="n">
        <x:f>SUMIFS('Plant Register'!$H$4:$H$215,'Plant Register'!$C$4:$C$215,"Retirement",'Plant Register'!$D$4:$D$215,K$18,'Plant Register'!$J$4:$J$215,$A19)</x:f>
        <x:v>163</x:v>
      </x:c>
      <x:c r="L19" s="38" t="n">
        <x:f>SUMIFS('Plant Register'!$H$4:$H$215,'Plant Register'!$C$4:$C$215,"Retirement",'Plant Register'!$D$4:$D$215,L$18,'Plant Register'!$J$4:$J$215,$A19)</x:f>
        <x:v>0</x:v>
      </x:c>
    </x:row>
    <x:row r="20">
      <x:c r="A20" t="str">
        <x:v>Sindh</x:v>
      </x:c>
      <x:c r="B20" s="38" t="n">
        <x:f>SUMIFS('Plant Register'!$H$4:$H$215,'Plant Register'!$C$4:$C$215,"Retirement",'Plant Register'!$D$4:$D$215,B$18,'Plant Register'!$J$4:$J$215,$A20)</x:f>
        <x:v>0</x:v>
      </x:c>
      <x:c r="C20" s="38" t="n">
        <x:f>SUMIFS('Plant Register'!$H$4:$H$215,'Plant Register'!$C$4:$C$215,"Retirement",'Plant Register'!$D$4:$D$215,C$18,'Plant Register'!$J$4:$J$215,$A20)</x:f>
        <x:v>0</x:v>
      </x:c>
      <x:c r="D20" s="38" t="n">
        <x:f>SUMIFS('Plant Register'!$H$4:$H$215,'Plant Register'!$C$4:$C$215,"Retirement",'Plant Register'!$D$4:$D$215,D$18,'Plant Register'!$J$4:$J$215,$A20)</x:f>
        <x:v>210</x:v>
      </x:c>
      <x:c r="E20" s="38" t="n">
        <x:f>SUMIFS('Plant Register'!$H$4:$H$215,'Plant Register'!$C$4:$C$215,"Retirement",'Plant Register'!$D$4:$D$215,E$18,'Plant Register'!$J$4:$J$215,$A20)</x:f>
        <x:v>235</x:v>
      </x:c>
      <x:c r="F20" s="38" t="n">
        <x:f>SUMIFS('Plant Register'!$H$4:$H$215,'Plant Register'!$C$4:$C$215,"Retirement",'Plant Register'!$D$4:$D$215,F$18,'Plant Register'!$J$4:$J$215,$A20)</x:f>
        <x:v>0</x:v>
      </x:c>
      <x:c r="G20" s="38" t="n">
        <x:f>SUMIFS('Plant Register'!$H$4:$H$215,'Plant Register'!$C$4:$C$215,"Retirement",'Plant Register'!$D$4:$D$215,G$18,'Plant Register'!$J$4:$J$215,$A20)</x:f>
        <x:v>0</x:v>
      </x:c>
      <x:c r="H20" s="38" t="n">
        <x:f>SUMIFS('Plant Register'!$H$4:$H$215,'Plant Register'!$C$4:$C$215,"Retirement",'Plant Register'!$D$4:$D$215,H$18,'Plant Register'!$J$4:$J$215,$A20)</x:f>
        <x:v>0</x:v>
      </x:c>
      <x:c r="I20" s="38" t="n">
        <x:f>SUMIFS('Plant Register'!$H$4:$H$215,'Plant Register'!$C$4:$C$215,"Retirement",'Plant Register'!$D$4:$D$215,I$18,'Plant Register'!$J$4:$J$215,$A20)</x:f>
        <x:v>0</x:v>
      </x:c>
      <x:c r="J20" s="38" t="n">
        <x:f>SUMIFS('Plant Register'!$H$4:$H$215,'Plant Register'!$C$4:$C$215,"Retirement",'Plant Register'!$D$4:$D$215,J$18,'Plant Register'!$J$4:$J$215,$A20)</x:f>
        <x:v>210</x:v>
      </x:c>
      <x:c r="K20" s="38" t="n">
        <x:f>SUMIFS('Plant Register'!$H$4:$H$215,'Plant Register'!$C$4:$C$215,"Retirement",'Plant Register'!$D$4:$D$215,K$18,'Plant Register'!$J$4:$J$215,$A20)</x:f>
        <x:v>0</x:v>
      </x:c>
      <x:c r="L20" s="38" t="n">
        <x:f>SUMIFS('Plant Register'!$H$4:$H$215,'Plant Register'!$C$4:$C$215,"Retirement",'Plant Register'!$D$4:$D$215,L$18,'Plant Register'!$J$4:$J$215,$A20)</x:f>
        <x:v>223</x:v>
      </x:c>
    </x:row>
    <x:row r="21">
      <x:c r="A21" t="str">
        <x:v>Khyber Pakhtunkhwa</x:v>
      </x:c>
      <x:c r="B21" s="38" t="n">
        <x:f>SUMIFS('Plant Register'!$H$4:$H$215,'Plant Register'!$C$4:$C$215,"Retirement",'Plant Register'!$D$4:$D$215,B$18,'Plant Register'!$J$4:$J$215,$A21)</x:f>
        <x:v>0</x:v>
      </x:c>
      <x:c r="C21" s="38" t="n">
        <x:f>SUMIFS('Plant Register'!$H$4:$H$215,'Plant Register'!$C$4:$C$215,"Retirement",'Plant Register'!$D$4:$D$215,C$18,'Plant Register'!$J$4:$J$215,$A21)</x:f>
        <x:v>0</x:v>
      </x:c>
      <x:c r="D21" s="38" t="n">
        <x:f>SUMIFS('Plant Register'!$H$4:$H$215,'Plant Register'!$C$4:$C$215,"Retirement",'Plant Register'!$D$4:$D$215,D$18,'Plant Register'!$J$4:$J$215,$A21)</x:f>
        <x:v>0</x:v>
      </x:c>
      <x:c r="E21" s="38" t="n">
        <x:f>SUMIFS('Plant Register'!$H$4:$H$215,'Plant Register'!$C$4:$C$215,"Retirement",'Plant Register'!$D$4:$D$215,E$18,'Plant Register'!$J$4:$J$215,$A21)</x:f>
        <x:v>0</x:v>
      </x:c>
      <x:c r="F21" s="38" t="n">
        <x:f>SUMIFS('Plant Register'!$H$4:$H$215,'Plant Register'!$C$4:$C$215,"Retirement",'Plant Register'!$D$4:$D$215,F$18,'Plant Register'!$J$4:$J$215,$A21)</x:f>
        <x:v>0</x:v>
      </x:c>
      <x:c r="G21" s="38" t="n">
        <x:f>SUMIFS('Plant Register'!$H$4:$H$215,'Plant Register'!$C$4:$C$215,"Retirement",'Plant Register'!$D$4:$D$215,G$18,'Plant Register'!$J$4:$J$215,$A21)</x:f>
        <x:v>0</x:v>
      </x:c>
      <x:c r="H21" s="38" t="n">
        <x:f>SUMIFS('Plant Register'!$H$4:$H$215,'Plant Register'!$C$4:$C$215,"Retirement",'Plant Register'!$D$4:$D$215,H$18,'Plant Register'!$J$4:$J$215,$A21)</x:f>
        <x:v>0</x:v>
      </x:c>
      <x:c r="I21" s="38" t="n">
        <x:f>SUMIFS('Plant Register'!$H$4:$H$215,'Plant Register'!$C$4:$C$215,"Retirement",'Plant Register'!$D$4:$D$215,I$18,'Plant Register'!$J$4:$J$215,$A21)</x:f>
        <x:v>0</x:v>
      </x:c>
      <x:c r="J21" s="38" t="n">
        <x:f>SUMIFS('Plant Register'!$H$4:$H$215,'Plant Register'!$C$4:$C$215,"Retirement",'Plant Register'!$D$4:$D$215,J$18,'Plant Register'!$J$4:$J$215,$A21)</x:f>
        <x:v>0</x:v>
      </x:c>
      <x:c r="K21" s="38" t="n">
        <x:f>SUMIFS('Plant Register'!$H$4:$H$215,'Plant Register'!$C$4:$C$215,"Retirement",'Plant Register'!$D$4:$D$215,K$18,'Plant Register'!$J$4:$J$215,$A21)</x:f>
        <x:v>0</x:v>
      </x:c>
      <x:c r="L21" s="38" t="n">
        <x:f>SUMIFS('Plant Register'!$H$4:$H$215,'Plant Register'!$C$4:$C$215,"Retirement",'Plant Register'!$D$4:$D$215,L$18,'Plant Register'!$J$4:$J$215,$A21)</x:f>
        <x:v>0</x:v>
      </x:c>
    </x:row>
    <x:row r="22">
      <x:c r="A22" t="str">
        <x:v>Balochistan</x:v>
      </x:c>
      <x:c r="B22" s="38" t="n">
        <x:f>SUMIFS('Plant Register'!$H$4:$H$215,'Plant Register'!$C$4:$C$215,"Retirement",'Plant Register'!$D$4:$D$215,B$18,'Plant Register'!$J$4:$J$215,$A22)</x:f>
        <x:v>0</x:v>
      </x:c>
      <x:c r="C22" s="38" t="n">
        <x:f>SUMIFS('Plant Register'!$H$4:$H$215,'Plant Register'!$C$4:$C$215,"Retirement",'Plant Register'!$D$4:$D$215,C$18,'Plant Register'!$J$4:$J$215,$A22)</x:f>
        <x:v>0</x:v>
      </x:c>
      <x:c r="D22" s="38" t="n">
        <x:f>SUMIFS('Plant Register'!$H$4:$H$215,'Plant Register'!$C$4:$C$215,"Retirement",'Plant Register'!$D$4:$D$215,D$18,'Plant Register'!$J$4:$J$215,$A22)</x:f>
        <x:v>0</x:v>
      </x:c>
      <x:c r="E22" s="38" t="n">
        <x:f>SUMIFS('Plant Register'!$H$4:$H$215,'Plant Register'!$C$4:$C$215,"Retirement",'Plant Register'!$D$4:$D$215,E$18,'Plant Register'!$J$4:$J$215,$A22)</x:f>
        <x:v>0</x:v>
      </x:c>
      <x:c r="F22" s="38" t="n">
        <x:f>SUMIFS('Plant Register'!$H$4:$H$215,'Plant Register'!$C$4:$C$215,"Retirement",'Plant Register'!$D$4:$D$215,F$18,'Plant Register'!$J$4:$J$215,$A22)</x:f>
        <x:v>0</x:v>
      </x:c>
      <x:c r="G22" s="38" t="n">
        <x:f>SUMIFS('Plant Register'!$H$4:$H$215,'Plant Register'!$C$4:$C$215,"Retirement",'Plant Register'!$D$4:$D$215,G$18,'Plant Register'!$J$4:$J$215,$A22)</x:f>
        <x:v>0</x:v>
      </x:c>
      <x:c r="H22" s="38" t="n">
        <x:f>SUMIFS('Plant Register'!$H$4:$H$215,'Plant Register'!$C$4:$C$215,"Retirement",'Plant Register'!$D$4:$D$215,H$18,'Plant Register'!$J$4:$J$215,$A22)</x:f>
        <x:v>586</x:v>
      </x:c>
      <x:c r="I22" s="38" t="n">
        <x:f>SUMIFS('Plant Register'!$H$4:$H$215,'Plant Register'!$C$4:$C$215,"Retirement",'Plant Register'!$D$4:$D$215,I$18,'Plant Register'!$J$4:$J$215,$A22)</x:f>
        <x:v>0</x:v>
      </x:c>
      <x:c r="J22" s="38" t="n">
        <x:f>SUMIFS('Plant Register'!$H$4:$H$215,'Plant Register'!$C$4:$C$215,"Retirement",'Plant Register'!$D$4:$D$215,J$18,'Plant Register'!$J$4:$J$215,$A22)</x:f>
        <x:v>0</x:v>
      </x:c>
      <x:c r="K22" s="38" t="n">
        <x:f>SUMIFS('Plant Register'!$H$4:$H$215,'Plant Register'!$C$4:$C$215,"Retirement",'Plant Register'!$D$4:$D$215,K$18,'Plant Register'!$J$4:$J$215,$A22)</x:f>
        <x:v>0</x:v>
      </x:c>
      <x:c r="L22" s="38" t="n">
        <x:f>SUMIFS('Plant Register'!$H$4:$H$215,'Plant Register'!$C$4:$C$215,"Retirement",'Plant Register'!$D$4:$D$215,L$18,'Plant Register'!$J$4:$J$215,$A22)</x:f>
        <x:v>0</x:v>
      </x:c>
    </x:row>
    <x:row r="23">
      <x:c r="A23" t="str">
        <x:v>Gilgit-Baltistan</x:v>
      </x:c>
      <x:c r="B23" s="38" t="n">
        <x:f>SUMIFS('Plant Register'!$H$4:$H$215,'Plant Register'!$C$4:$C$215,"Retirement",'Plant Register'!$D$4:$D$215,B$18,'Plant Register'!$J$4:$J$215,$A23)</x:f>
        <x:v>0</x:v>
      </x:c>
      <x:c r="C23" s="38" t="n">
        <x:f>SUMIFS('Plant Register'!$H$4:$H$215,'Plant Register'!$C$4:$C$215,"Retirement",'Plant Register'!$D$4:$D$215,C$18,'Plant Register'!$J$4:$J$215,$A23)</x:f>
        <x:v>0</x:v>
      </x:c>
      <x:c r="D23" s="38" t="n">
        <x:f>SUMIFS('Plant Register'!$H$4:$H$215,'Plant Register'!$C$4:$C$215,"Retirement",'Plant Register'!$D$4:$D$215,D$18,'Plant Register'!$J$4:$J$215,$A23)</x:f>
        <x:v>0</x:v>
      </x:c>
      <x:c r="E23" s="38" t="n">
        <x:f>SUMIFS('Plant Register'!$H$4:$H$215,'Plant Register'!$C$4:$C$215,"Retirement",'Plant Register'!$D$4:$D$215,E$18,'Plant Register'!$J$4:$J$215,$A23)</x:f>
        <x:v>0</x:v>
      </x:c>
      <x:c r="F23" s="38" t="n">
        <x:f>SUMIFS('Plant Register'!$H$4:$H$215,'Plant Register'!$C$4:$C$215,"Retirement",'Plant Register'!$D$4:$D$215,F$18,'Plant Register'!$J$4:$J$215,$A23)</x:f>
        <x:v>0</x:v>
      </x:c>
      <x:c r="G23" s="38" t="n">
        <x:f>SUMIFS('Plant Register'!$H$4:$H$215,'Plant Register'!$C$4:$C$215,"Retirement",'Plant Register'!$D$4:$D$215,G$18,'Plant Register'!$J$4:$J$215,$A23)</x:f>
        <x:v>0</x:v>
      </x:c>
      <x:c r="H23" s="38" t="n">
        <x:f>SUMIFS('Plant Register'!$H$4:$H$215,'Plant Register'!$C$4:$C$215,"Retirement",'Plant Register'!$D$4:$D$215,H$18,'Plant Register'!$J$4:$J$215,$A23)</x:f>
        <x:v>0</x:v>
      </x:c>
      <x:c r="I23" s="38" t="n">
        <x:f>SUMIFS('Plant Register'!$H$4:$H$215,'Plant Register'!$C$4:$C$215,"Retirement",'Plant Register'!$D$4:$D$215,I$18,'Plant Register'!$J$4:$J$215,$A23)</x:f>
        <x:v>0</x:v>
      </x:c>
      <x:c r="J23" s="38" t="n">
        <x:f>SUMIFS('Plant Register'!$H$4:$H$215,'Plant Register'!$C$4:$C$215,"Retirement",'Plant Register'!$D$4:$D$215,J$18,'Plant Register'!$J$4:$J$215,$A23)</x:f>
        <x:v>0</x:v>
      </x:c>
      <x:c r="K23" s="38" t="n">
        <x:f>SUMIFS('Plant Register'!$H$4:$H$215,'Plant Register'!$C$4:$C$215,"Retirement",'Plant Register'!$D$4:$D$215,K$18,'Plant Register'!$J$4:$J$215,$A23)</x:f>
        <x:v>0</x:v>
      </x:c>
      <x:c r="L23" s="38" t="n">
        <x:f>SUMIFS('Plant Register'!$H$4:$H$215,'Plant Register'!$C$4:$C$215,"Retirement",'Plant Register'!$D$4:$D$215,L$18,'Plant Register'!$J$4:$J$215,$A23)</x:f>
        <x:v>0</x:v>
      </x:c>
    </x:row>
    <x:row r="24">
      <x:c r="A24" t="str">
        <x:v>Azad Jammu &amp; Kashmir</x:v>
      </x:c>
      <x:c r="B24" s="38" t="n">
        <x:f>SUMIFS('Plant Register'!$H$4:$H$215,'Plant Register'!$C$4:$C$215,"Retirement",'Plant Register'!$D$4:$D$215,B$18,'Plant Register'!$J$4:$J$215,$A24)</x:f>
        <x:v>0</x:v>
      </x:c>
      <x:c r="C24" s="38" t="n">
        <x:f>SUMIFS('Plant Register'!$H$4:$H$215,'Plant Register'!$C$4:$C$215,"Retirement",'Plant Register'!$D$4:$D$215,C$18,'Plant Register'!$J$4:$J$215,$A24)</x:f>
        <x:v>0</x:v>
      </x:c>
      <x:c r="D24" s="38" t="n">
        <x:f>SUMIFS('Plant Register'!$H$4:$H$215,'Plant Register'!$C$4:$C$215,"Retirement",'Plant Register'!$D$4:$D$215,D$18,'Plant Register'!$J$4:$J$215,$A24)</x:f>
        <x:v>0</x:v>
      </x:c>
      <x:c r="E24" s="38" t="n">
        <x:f>SUMIFS('Plant Register'!$H$4:$H$215,'Plant Register'!$C$4:$C$215,"Retirement",'Plant Register'!$D$4:$D$215,E$18,'Plant Register'!$J$4:$J$215,$A24)</x:f>
        <x:v>0</x:v>
      </x:c>
      <x:c r="F24" s="38" t="n">
        <x:f>SUMIFS('Plant Register'!$H$4:$H$215,'Plant Register'!$C$4:$C$215,"Retirement",'Plant Register'!$D$4:$D$215,F$18,'Plant Register'!$J$4:$J$215,$A24)</x:f>
        <x:v>0</x:v>
      </x:c>
      <x:c r="G24" s="38" t="n">
        <x:f>SUMIFS('Plant Register'!$H$4:$H$215,'Plant Register'!$C$4:$C$215,"Retirement",'Plant Register'!$D$4:$D$215,G$18,'Plant Register'!$J$4:$J$215,$A24)</x:f>
        <x:v>0</x:v>
      </x:c>
      <x:c r="H24" s="38" t="n">
        <x:f>SUMIFS('Plant Register'!$H$4:$H$215,'Plant Register'!$C$4:$C$215,"Retirement",'Plant Register'!$D$4:$D$215,H$18,'Plant Register'!$J$4:$J$215,$A24)</x:f>
        <x:v>0</x:v>
      </x:c>
      <x:c r="I24" s="38" t="n">
        <x:f>SUMIFS('Plant Register'!$H$4:$H$215,'Plant Register'!$C$4:$C$215,"Retirement",'Plant Register'!$D$4:$D$215,I$18,'Plant Register'!$J$4:$J$215,$A24)</x:f>
        <x:v>0</x:v>
      </x:c>
      <x:c r="J24" s="38" t="n">
        <x:f>SUMIFS('Plant Register'!$H$4:$H$215,'Plant Register'!$C$4:$C$215,"Retirement",'Plant Register'!$D$4:$D$215,J$18,'Plant Register'!$J$4:$J$215,$A24)</x:f>
        <x:v>0</x:v>
      </x:c>
      <x:c r="K24" s="38" t="n">
        <x:f>SUMIFS('Plant Register'!$H$4:$H$215,'Plant Register'!$C$4:$C$215,"Retirement",'Plant Register'!$D$4:$D$215,K$18,'Plant Register'!$J$4:$J$215,$A24)</x:f>
        <x:v>0</x:v>
      </x:c>
      <x:c r="L24" s="38" t="n">
        <x:f>SUMIFS('Plant Register'!$H$4:$H$215,'Plant Register'!$C$4:$C$215,"Retirement",'Plant Register'!$D$4:$D$215,L$18,'Plant Register'!$J$4:$J$215,$A24)</x:f>
        <x:v>0</x:v>
      </x:c>
    </x:row>
    <x:row r="25">
      <x:c r="A25" t="str">
        <x:v>Islamabad Capital Territory</x:v>
      </x:c>
      <x:c r="B25" s="38" t="n">
        <x:f>SUMIFS('Plant Register'!$H$4:$H$215,'Plant Register'!$C$4:$C$215,"Retirement",'Plant Register'!$D$4:$D$215,B$18,'Plant Register'!$J$4:$J$215,$A25)</x:f>
        <x:v>0</x:v>
      </x:c>
      <x:c r="C25" s="38" t="n">
        <x:f>SUMIFS('Plant Register'!$H$4:$H$215,'Plant Register'!$C$4:$C$215,"Retirement",'Plant Register'!$D$4:$D$215,C$18,'Plant Register'!$J$4:$J$215,$A25)</x:f>
        <x:v>0</x:v>
      </x:c>
      <x:c r="D25" s="38" t="n">
        <x:f>SUMIFS('Plant Register'!$H$4:$H$215,'Plant Register'!$C$4:$C$215,"Retirement",'Plant Register'!$D$4:$D$215,D$18,'Plant Register'!$J$4:$J$215,$A25)</x:f>
        <x:v>0</x:v>
      </x:c>
      <x:c r="E25" s="38" t="n">
        <x:f>SUMIFS('Plant Register'!$H$4:$H$215,'Plant Register'!$C$4:$C$215,"Retirement",'Plant Register'!$D$4:$D$215,E$18,'Plant Register'!$J$4:$J$215,$A25)</x:f>
        <x:v>0</x:v>
      </x:c>
      <x:c r="F25" s="38" t="n">
        <x:f>SUMIFS('Plant Register'!$H$4:$H$215,'Plant Register'!$C$4:$C$215,"Retirement",'Plant Register'!$D$4:$D$215,F$18,'Plant Register'!$J$4:$J$215,$A25)</x:f>
        <x:v>0</x:v>
      </x:c>
      <x:c r="G25" s="38" t="n">
        <x:f>SUMIFS('Plant Register'!$H$4:$H$215,'Plant Register'!$C$4:$C$215,"Retirement",'Plant Register'!$D$4:$D$215,G$18,'Plant Register'!$J$4:$J$215,$A25)</x:f>
        <x:v>0</x:v>
      </x:c>
      <x:c r="H25" s="38" t="n">
        <x:f>SUMIFS('Plant Register'!$H$4:$H$215,'Plant Register'!$C$4:$C$215,"Retirement",'Plant Register'!$D$4:$D$215,H$18,'Plant Register'!$J$4:$J$215,$A25)</x:f>
        <x:v>0</x:v>
      </x:c>
      <x:c r="I25" s="38" t="n">
        <x:f>SUMIFS('Plant Register'!$H$4:$H$215,'Plant Register'!$C$4:$C$215,"Retirement",'Plant Register'!$D$4:$D$215,I$18,'Plant Register'!$J$4:$J$215,$A25)</x:f>
        <x:v>0</x:v>
      </x:c>
      <x:c r="J25" s="38" t="n">
        <x:f>SUMIFS('Plant Register'!$H$4:$H$215,'Plant Register'!$C$4:$C$215,"Retirement",'Plant Register'!$D$4:$D$215,J$18,'Plant Register'!$J$4:$J$215,$A25)</x:f>
        <x:v>0</x:v>
      </x:c>
      <x:c r="K25" s="38" t="n">
        <x:f>SUMIFS('Plant Register'!$H$4:$H$215,'Plant Register'!$C$4:$C$215,"Retirement",'Plant Register'!$D$4:$D$215,K$18,'Plant Register'!$J$4:$J$215,$A25)</x:f>
        <x:v>0</x:v>
      </x:c>
      <x:c r="L25" s="38" t="n">
        <x:f>SUMIFS('Plant Register'!$H$4:$H$215,'Plant Register'!$C$4:$C$215,"Retirement",'Plant Register'!$D$4:$D$215,L$18,'Plant Register'!$J$4:$J$215,$A25)</x:f>
        <x:v>0</x:v>
      </x:c>
    </x:row>
    <x:row r="26">
      <x:c r="A26" t="str">
        <x:v>Unspecified / distributed</x:v>
      </x:c>
      <x:c r="B26" s="38" t="n">
        <x:f>SUMIFS('Plant Register'!$H$4:$H$215,'Plant Register'!$C$4:$C$215,"Retirement",'Plant Register'!$D$4:$D$215,B$18,'Plant Register'!$J$4:$J$215,$A26)</x:f>
        <x:v>136</x:v>
      </x:c>
      <x:c r="C26" s="38" t="n">
        <x:f>SUMIFS('Plant Register'!$H$4:$H$215,'Plant Register'!$C$4:$C$215,"Retirement",'Plant Register'!$D$4:$D$215,C$18,'Plant Register'!$J$4:$J$215,$A26)</x:f>
        <x:v>0</x:v>
      </x:c>
      <x:c r="D26" s="38" t="n">
        <x:f>SUMIFS('Plant Register'!$H$4:$H$215,'Plant Register'!$C$4:$C$215,"Retirement",'Plant Register'!$D$4:$D$215,D$18,'Plant Register'!$J$4:$J$215,$A26)</x:f>
        <x:v>0</x:v>
      </x:c>
      <x:c r="E26" s="38" t="n">
        <x:f>SUMIFS('Plant Register'!$H$4:$H$215,'Plant Register'!$C$4:$C$215,"Retirement",'Plant Register'!$D$4:$D$215,E$18,'Plant Register'!$J$4:$J$215,$A26)</x:f>
        <x:v>0</x:v>
      </x:c>
      <x:c r="F26" s="38" t="n">
        <x:f>SUMIFS('Plant Register'!$H$4:$H$215,'Plant Register'!$C$4:$C$215,"Retirement",'Plant Register'!$D$4:$D$215,F$18,'Plant Register'!$J$4:$J$215,$A26)</x:f>
        <x:v>0</x:v>
      </x:c>
      <x:c r="G26" s="38" t="n">
        <x:f>SUMIFS('Plant Register'!$H$4:$H$215,'Plant Register'!$C$4:$C$215,"Retirement",'Plant Register'!$D$4:$D$215,G$18,'Plant Register'!$J$4:$J$215,$A26)</x:f>
        <x:v>0</x:v>
      </x:c>
      <x:c r="H26" s="38" t="n">
        <x:f>SUMIFS('Plant Register'!$H$4:$H$215,'Plant Register'!$C$4:$C$215,"Retirement",'Plant Register'!$D$4:$D$215,H$18,'Plant Register'!$J$4:$J$215,$A26)</x:f>
        <x:v>0</x:v>
      </x:c>
      <x:c r="I26" s="38" t="n">
        <x:f>SUMIFS('Plant Register'!$H$4:$H$215,'Plant Register'!$C$4:$C$215,"Retirement",'Plant Register'!$D$4:$D$215,I$18,'Plant Register'!$J$4:$J$215,$A26)</x:f>
        <x:v>31</x:v>
      </x:c>
      <x:c r="J26" s="38" t="n">
        <x:f>SUMIFS('Plant Register'!$H$4:$H$215,'Plant Register'!$C$4:$C$215,"Retirement",'Plant Register'!$D$4:$D$215,J$18,'Plant Register'!$J$4:$J$215,$A26)</x:f>
        <x:v>0</x:v>
      </x:c>
      <x:c r="K26" s="38" t="n">
        <x:f>SUMIFS('Plant Register'!$H$4:$H$215,'Plant Register'!$C$4:$C$215,"Retirement",'Plant Register'!$D$4:$D$215,K$18,'Plant Register'!$J$4:$J$215,$A26)</x:f>
        <x:v>0</x:v>
      </x:c>
      <x:c r="L26" s="38" t="n">
        <x:f>SUMIFS('Plant Register'!$H$4:$H$215,'Plant Register'!$C$4:$C$215,"Retirement",'Plant Register'!$D$4:$D$215,L$18,'Plant Register'!$J$4:$J$215,$A26)</x:f>
        <x:v>0</x:v>
      </x:c>
    </x:row>
    <x:row r="27">
      <x:c r="A27" s="41" t="str">
        <x:v>ALL REGIONS</x:v>
      </x:c>
      <x:c r="B27" s="41" t="n">
        <x:f>SUM(B19:B26)</x:f>
        <x:v>136</x:v>
      </x:c>
      <x:c r="C27" s="41" t="n">
        <x:f>SUM(C19:C26)</x:f>
        <x:v>0</x:v>
      </x:c>
      <x:c r="D27" s="41" t="n">
        <x:f>SUM(D19:D26)</x:f>
        <x:v>210</x:v>
      </x:c>
      <x:c r="E27" s="41" t="n">
        <x:f>SUM(E19:E26)</x:f>
        <x:v>366</x:v>
      </x:c>
      <x:c r="F27" s="41" t="n">
        <x:f>SUM(F19:F26)</x:f>
        <x:v>495</x:v>
      </x:c>
      <x:c r="G27" s="41" t="n">
        <x:f>SUM(G19:G26)</x:f>
        <x:v>0</x:v>
      </x:c>
      <x:c r="H27" s="41" t="n">
        <x:f>SUM(H19:H26)</x:f>
        <x:v>586</x:v>
      </x:c>
      <x:c r="I27" s="41" t="n">
        <x:f>SUM(I19:I26)</x:f>
        <x:v>188</x:v>
      </x:c>
      <x:c r="J27" s="41" t="n">
        <x:f>SUM(J19:J26)</x:f>
        <x:v>210</x:v>
      </x:c>
      <x:c r="K27" s="41" t="n">
        <x:f>SUM(K19:K26)</x:f>
        <x:v>163</x:v>
      </x:c>
      <x:c r="L27" s="41" t="n">
        <x:f>SUM(L19:L26)</x:f>
        <x:v>223</x:v>
      </x:c>
    </x:row>
  </x:sheetData>
  <x:mergeCells>
    <x:mergeCell ref="A1:L1"/>
    <x:mergeCell ref="A2:L2"/>
    <x:mergeCell ref="A4:L4"/>
    <x:mergeCell ref="A17:L17"/>
  </x:mergeCells>
  <x:conditionalFormatting sqref="B6:L13">
    <x:cfRule type="colorScale" priority="1">
      <x:colorScale>
        <x:cfvo type="min"/>
        <x:cfvo type="percentile" val="50"/>
        <x:cfvo type="max"/>
        <x:color rgb="FFF9FBFD"/>
        <x:color rgb="FFC7EAF0"/>
        <x:color rgb="FF2E8C9A"/>
      </x:colorScale>
    </x:cfRule>
  </x:conditionalFormatting>
  <x:conditionalFormatting sqref="B19:L26">
    <x:cfRule type="colorScale" priority="2">
      <x:colorScale>
        <x:cfvo type="min"/>
        <x:cfvo type="percentile" val="50"/>
        <x:cfvo type="max"/>
        <x:color rgb="FFF9FBFD"/>
        <x:color rgb="FFC7EAF0"/>
        <x:color rgb="FF2E8C9A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0" customHeight="1">
      <x:c r="A1" s="3" t="str">
        <x:v>NEW GENERATION ADDITIONS | TECHNOLOGY × FY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t="str">
        <x:v>Source: main RCA Table 6-8 only; technology-mix additions are not total in-service capacity.</x:v>
      </x:c>
    </x:row>
    <x:row r="4" ht="26" customHeight="1">
      <x:c r="A4" s="32" t="str">
        <x:v>Technology</x:v>
      </x:c>
      <x:c r="B4" s="32" t="n">
        <x:v>2025</x:v>
      </x:c>
      <x:c r="C4" s="32" t="n">
        <x:v>2026</x:v>
      </x:c>
      <x:c r="D4" s="32" t="n">
        <x:v>2027</x:v>
      </x:c>
      <x:c r="E4" s="32" t="n">
        <x:v>2028</x:v>
      </x:c>
      <x:c r="F4" s="32" t="n">
        <x:v>2029</x:v>
      </x:c>
      <x:c r="G4" s="32" t="n">
        <x:v>2030</x:v>
      </x:c>
      <x:c r="H4" s="32" t="n">
        <x:v>2031</x:v>
      </x:c>
      <x:c r="I4" s="32" t="n">
        <x:v>2032</x:v>
      </x:c>
      <x:c r="J4" s="32" t="n">
        <x:v>2033</x:v>
      </x:c>
      <x:c r="K4" s="32" t="n">
        <x:v>2034</x:v>
      </x:c>
      <x:c r="L4" s="32" t="n">
        <x:v>2035</x:v>
      </x:c>
    </x:row>
    <x:row r="5">
      <x:c r="A5" t="str">
        <x:v>Hydro</x:v>
      </x:c>
      <x:c r="B5" s="38" t="n">
        <x:f>SUMIFS('Plant Register'!$H$4:$H$215,'Plant Register'!$C$4:$C$215,"Addition",'Plant Register'!$D$4:$D$215,B$4,'Plant Register'!$F$4:$F$215,$A5)</x:f>
        <x:v>208.02</x:v>
      </x:c>
      <x:c r="C5" s="38" t="n">
        <x:f>SUMIFS('Plant Register'!$H$4:$H$215,'Plant Register'!$C$4:$C$215,"Addition",'Plant Register'!$D$4:$D$215,C$4,'Plant Register'!$F$4:$F$215,$A5)</x:f>
        <x:v>157.22</x:v>
      </x:c>
      <x:c r="D5" s="38" t="n">
        <x:f>SUMIFS('Plant Register'!$H$4:$H$215,'Plant Register'!$C$4:$C$215,"Addition",'Plant Register'!$D$4:$D$215,D$4,'Plant Register'!$F$4:$F$215,$A5)</x:f>
        <x:v>1960</x:v>
      </x:c>
      <x:c r="E5" s="38" t="n">
        <x:f>SUMIFS('Plant Register'!$H$4:$H$215,'Plant Register'!$C$4:$C$215,"Addition",'Plant Register'!$D$4:$D$215,E$4,'Plant Register'!$F$4:$F$215,$A5)</x:f>
        <x:v>3900</x:v>
      </x:c>
      <x:c r="F5" s="38" t="n">
        <x:f>SUMIFS('Plant Register'!$H$4:$H$215,'Plant Register'!$C$4:$C$215,"Addition",'Plant Register'!$D$4:$D$215,F$4,'Plant Register'!$F$4:$F$215,$A5)</x:f>
        <x:v>30</x:v>
      </x:c>
      <x:c r="G5" s="38" t="n">
        <x:f>SUMIFS('Plant Register'!$H$4:$H$215,'Plant Register'!$C$4:$C$215,"Addition",'Plant Register'!$D$4:$D$215,G$4,'Plant Register'!$F$4:$F$215,$A5)</x:f>
        <x:v>0</x:v>
      </x:c>
      <x:c r="H5" s="38" t="n">
        <x:f>SUMIFS('Plant Register'!$H$4:$H$215,'Plant Register'!$C$4:$C$215,"Addition",'Plant Register'!$D$4:$D$215,H$4,'Plant Register'!$F$4:$F$215,$A5)</x:f>
        <x:v>0</x:v>
      </x:c>
      <x:c r="I5" s="38" t="n">
        <x:f>SUMIFS('Plant Register'!$H$4:$H$215,'Plant Register'!$C$4:$C$215,"Addition",'Plant Register'!$D$4:$D$215,I$4,'Plant Register'!$F$4:$F$215,$A5)</x:f>
        <x:v>0</x:v>
      </x:c>
      <x:c r="J5" s="38" t="n">
        <x:f>SUMIFS('Plant Register'!$H$4:$H$215,'Plant Register'!$C$4:$C$215,"Addition",'Plant Register'!$D$4:$D$215,J$4,'Plant Register'!$F$4:$F$215,$A5)</x:f>
        <x:v>1505.2</x:v>
      </x:c>
      <x:c r="K5" s="38" t="n">
        <x:f>SUMIFS('Plant Register'!$H$4:$H$215,'Plant Register'!$C$4:$C$215,"Addition",'Plant Register'!$D$4:$D$215,K$4,'Plant Register'!$F$4:$F$215,$A5)</x:f>
        <x:v>1500</x:v>
      </x:c>
      <x:c r="L5" s="38" t="n">
        <x:f>SUMIFS('Plant Register'!$H$4:$H$215,'Plant Register'!$C$4:$C$215,"Addition",'Plant Register'!$D$4:$D$215,L$4,'Plant Register'!$F$4:$F$215,$A5)</x:f>
        <x:v>1500</x:v>
      </x:c>
    </x:row>
    <x:row r="6">
      <x:c r="A6" t="str">
        <x:v>Solar PV</x:v>
      </x:c>
      <x:c r="B6" s="38" t="n">
        <x:f>SUMIFS('Plant Register'!$H$4:$H$215,'Plant Register'!$C$4:$C$215,"Addition",'Plant Register'!$D$4:$D$215,B$4,'Plant Register'!$F$4:$F$215,$A6)</x:f>
        <x:v>2400</x:v>
      </x:c>
      <x:c r="C6" s="38" t="n">
        <x:f>SUMIFS('Plant Register'!$H$4:$H$215,'Plant Register'!$C$4:$C$215,"Addition",'Plant Register'!$D$4:$D$215,C$4,'Plant Register'!$F$4:$F$215,$A6)</x:f>
        <x:v>1200</x:v>
      </x:c>
      <x:c r="D6" s="38" t="n">
        <x:f>SUMIFS('Plant Register'!$H$4:$H$215,'Plant Register'!$C$4:$C$215,"Addition",'Plant Register'!$D$4:$D$215,D$4,'Plant Register'!$F$4:$F$215,$A6)</x:f>
        <x:v>1201.9</x:v>
      </x:c>
      <x:c r="E6" s="38" t="n">
        <x:f>SUMIFS('Plant Register'!$H$4:$H$215,'Plant Register'!$C$4:$C$215,"Addition",'Plant Register'!$D$4:$D$215,E$4,'Plant Register'!$F$4:$F$215,$A6)</x:f>
        <x:v>1393.1</x:v>
      </x:c>
      <x:c r="F6" s="38" t="n">
        <x:f>SUMIFS('Plant Register'!$H$4:$H$215,'Plant Register'!$C$4:$C$215,"Addition",'Plant Register'!$D$4:$D$215,F$4,'Plant Register'!$F$4:$F$215,$A6)</x:f>
        <x:v>1293</x:v>
      </x:c>
      <x:c r="G6" s="38" t="n">
        <x:f>SUMIFS('Plant Register'!$H$4:$H$215,'Plant Register'!$C$4:$C$215,"Addition",'Plant Register'!$D$4:$D$215,G$4,'Plant Register'!$F$4:$F$215,$A6)</x:f>
        <x:v>1193.1</x:v>
      </x:c>
      <x:c r="H6" s="38" t="n">
        <x:f>SUMIFS('Plant Register'!$H$4:$H$215,'Plant Register'!$C$4:$C$215,"Addition",'Plant Register'!$D$4:$D$215,H$4,'Plant Register'!$F$4:$F$215,$A6)</x:f>
        <x:v>1093.1</x:v>
      </x:c>
      <x:c r="I6" s="38" t="n">
        <x:f>SUMIFS('Plant Register'!$H$4:$H$215,'Plant Register'!$C$4:$C$215,"Addition",'Plant Register'!$D$4:$D$215,I$4,'Plant Register'!$F$4:$F$215,$A6)</x:f>
        <x:v>400</x:v>
      </x:c>
      <x:c r="J6" s="38" t="n">
        <x:f>SUMIFS('Plant Register'!$H$4:$H$215,'Plant Register'!$C$4:$C$215,"Addition",'Plant Register'!$D$4:$D$215,J$4,'Plant Register'!$F$4:$F$215,$A6)</x:f>
        <x:v>300</x:v>
      </x:c>
      <x:c r="K6" s="38" t="n">
        <x:f>SUMIFS('Plant Register'!$H$4:$H$215,'Plant Register'!$C$4:$C$215,"Addition",'Plant Register'!$D$4:$D$215,K$4,'Plant Register'!$F$4:$F$215,$A6)</x:f>
        <x:v>200</x:v>
      </x:c>
      <x:c r="L6" s="38" t="n">
        <x:f>SUMIFS('Plant Register'!$H$4:$H$215,'Plant Register'!$C$4:$C$215,"Addition",'Plant Register'!$D$4:$D$215,L$4,'Plant Register'!$F$4:$F$215,$A6)</x:f>
        <x:v>120</x:v>
      </x:c>
    </x:row>
    <x:row r="7">
      <x:c r="A7" t="str">
        <x:v>Wind</x:v>
      </x:c>
      <x:c r="B7" s="38" t="n">
        <x:f>SUMIFS('Plant Register'!$H$4:$H$215,'Plant Register'!$C$4:$C$215,"Addition",'Plant Register'!$D$4:$D$215,B$4,'Plant Register'!$F$4:$F$215,$A7)</x:f>
        <x:v>0</x:v>
      </x:c>
      <x:c r="C7" s="38" t="n">
        <x:f>SUMIFS('Plant Register'!$H$4:$H$215,'Plant Register'!$C$4:$C$215,"Addition",'Plant Register'!$D$4:$D$215,C$4,'Plant Register'!$F$4:$F$215,$A7)</x:f>
        <x:v>0</x:v>
      </x:c>
      <x:c r="D7" s="38" t="n">
        <x:f>SUMIFS('Plant Register'!$H$4:$H$215,'Plant Register'!$C$4:$C$215,"Addition",'Plant Register'!$D$4:$D$215,D$4,'Plant Register'!$F$4:$F$215,$A7)</x:f>
        <x:v>449.2</x:v>
      </x:c>
      <x:c r="E7" s="38" t="n">
        <x:f>SUMIFS('Plant Register'!$H$4:$H$215,'Plant Register'!$C$4:$C$215,"Addition",'Plant Register'!$D$4:$D$215,E$4,'Plant Register'!$F$4:$F$215,$A7)</x:f>
        <x:v>196.6</x:v>
      </x:c>
      <x:c r="F7" s="38" t="n">
        <x:f>SUMIFS('Plant Register'!$H$4:$H$215,'Plant Register'!$C$4:$C$215,"Addition",'Plant Register'!$D$4:$D$215,F$4,'Plant Register'!$F$4:$F$215,$A7)</x:f>
        <x:v>96.7</x:v>
      </x:c>
      <x:c r="G7" s="38" t="n">
        <x:f>SUMIFS('Plant Register'!$H$4:$H$215,'Plant Register'!$C$4:$C$215,"Addition",'Plant Register'!$D$4:$D$215,G$4,'Plant Register'!$F$4:$F$215,$A7)</x:f>
        <x:v>240.6</x:v>
      </x:c>
      <x:c r="H7" s="38" t="n">
        <x:f>SUMIFS('Plant Register'!$H$4:$H$215,'Plant Register'!$C$4:$C$215,"Addition",'Plant Register'!$D$4:$D$215,H$4,'Plant Register'!$F$4:$F$215,$A7)</x:f>
        <x:v>282.7</x:v>
      </x:c>
      <x:c r="I7" s="38" t="n">
        <x:f>SUMIFS('Plant Register'!$H$4:$H$215,'Plant Register'!$C$4:$C$215,"Addition",'Plant Register'!$D$4:$D$215,I$4,'Plant Register'!$F$4:$F$215,$A7)</x:f>
        <x:v>100</x:v>
      </x:c>
      <x:c r="J7" s="38" t="n">
        <x:f>SUMIFS('Plant Register'!$H$4:$H$215,'Plant Register'!$C$4:$C$215,"Addition",'Plant Register'!$D$4:$D$215,J$4,'Plant Register'!$F$4:$F$215,$A7)</x:f>
        <x:v>1725</x:v>
      </x:c>
      <x:c r="K7" s="38" t="n">
        <x:f>SUMIFS('Plant Register'!$H$4:$H$215,'Plant Register'!$C$4:$C$215,"Addition",'Plant Register'!$D$4:$D$215,K$4,'Plant Register'!$F$4:$F$215,$A7)</x:f>
        <x:v>41</x:v>
      </x:c>
      <x:c r="L7" s="38" t="n">
        <x:f>SUMIFS('Plant Register'!$H$4:$H$215,'Plant Register'!$C$4:$C$215,"Addition",'Plant Register'!$D$4:$D$215,L$4,'Plant Register'!$F$4:$F$215,$A7)</x:f>
        <x:v>159</x:v>
      </x:c>
    </x:row>
    <x:row r="8">
      <x:c r="A8" t="str">
        <x:v>Nuclear</x:v>
      </x:c>
      <x:c r="B8" s="38" t="n">
        <x:f>SUMIFS('Plant Register'!$H$4:$H$215,'Plant Register'!$C$4:$C$215,"Addition",'Plant Register'!$D$4:$D$215,B$4,'Plant Register'!$F$4:$F$215,$A8)</x:f>
        <x:v>0</x:v>
      </x:c>
      <x:c r="C8" s="38" t="n">
        <x:f>SUMIFS('Plant Register'!$H$4:$H$215,'Plant Register'!$C$4:$C$215,"Addition",'Plant Register'!$D$4:$D$215,C$4,'Plant Register'!$F$4:$F$215,$A8)</x:f>
        <x:v>0</x:v>
      </x:c>
      <x:c r="D8" s="38" t="n">
        <x:f>SUMIFS('Plant Register'!$H$4:$H$215,'Plant Register'!$C$4:$C$215,"Addition",'Plant Register'!$D$4:$D$215,D$4,'Plant Register'!$F$4:$F$215,$A8)</x:f>
        <x:v>0</x:v>
      </x:c>
      <x:c r="E8" s="38" t="n">
        <x:f>SUMIFS('Plant Register'!$H$4:$H$215,'Plant Register'!$C$4:$C$215,"Addition",'Plant Register'!$D$4:$D$215,E$4,'Plant Register'!$F$4:$F$215,$A8)</x:f>
        <x:v>0</x:v>
      </x:c>
      <x:c r="F8" s="38" t="n">
        <x:f>SUMIFS('Plant Register'!$H$4:$H$215,'Plant Register'!$C$4:$C$215,"Addition",'Plant Register'!$D$4:$D$215,F$4,'Plant Register'!$F$4:$F$215,$A8)</x:f>
        <x:v>0</x:v>
      </x:c>
      <x:c r="G8" s="38" t="n">
        <x:f>SUMIFS('Plant Register'!$H$4:$H$215,'Plant Register'!$C$4:$C$215,"Addition",'Plant Register'!$D$4:$D$215,G$4,'Plant Register'!$F$4:$F$215,$A8)</x:f>
        <x:v>0</x:v>
      </x:c>
      <x:c r="H8" s="38" t="n">
        <x:f>SUMIFS('Plant Register'!$H$4:$H$215,'Plant Register'!$C$4:$C$215,"Addition",'Plant Register'!$D$4:$D$215,H$4,'Plant Register'!$F$4:$F$215,$A8)</x:f>
        <x:v>0</x:v>
      </x:c>
      <x:c r="I8" s="38" t="n">
        <x:f>SUMIFS('Plant Register'!$H$4:$H$215,'Plant Register'!$C$4:$C$215,"Addition",'Plant Register'!$D$4:$D$215,I$4,'Plant Register'!$F$4:$F$215,$A8)</x:f>
        <x:v>1200</x:v>
      </x:c>
      <x:c r="J8" s="38" t="n">
        <x:f>SUMIFS('Plant Register'!$H$4:$H$215,'Plant Register'!$C$4:$C$215,"Addition",'Plant Register'!$D$4:$D$215,J$4,'Plant Register'!$F$4:$F$215,$A8)</x:f>
        <x:v>0</x:v>
      </x:c>
      <x:c r="K8" s="38" t="n">
        <x:f>SUMIFS('Plant Register'!$H$4:$H$215,'Plant Register'!$C$4:$C$215,"Addition",'Plant Register'!$D$4:$D$215,K$4,'Plant Register'!$F$4:$F$215,$A8)</x:f>
        <x:v>0</x:v>
      </x:c>
      <x:c r="L8" s="38" t="n">
        <x:f>SUMIFS('Plant Register'!$H$4:$H$215,'Plant Register'!$C$4:$C$215,"Addition",'Plant Register'!$D$4:$D$215,L$4,'Plant Register'!$F$4:$F$215,$A8)</x:f>
        <x:v>0</x:v>
      </x:c>
    </x:row>
    <x:row r="9">
      <x:c r="A9" t="str">
        <x:v>RLNG</x:v>
      </x:c>
      <x:c r="B9" s="38" t="n">
        <x:f>SUMIFS('Plant Register'!$H$4:$H$215,'Plant Register'!$C$4:$C$215,"Addition",'Plant Register'!$D$4:$D$215,B$4,'Plant Register'!$F$4:$F$215,$A9)</x:f>
        <x:v>0</x:v>
      </x:c>
      <x:c r="C9" s="38" t="n">
        <x:f>SUMIFS('Plant Register'!$H$4:$H$215,'Plant Register'!$C$4:$C$215,"Addition",'Plant Register'!$D$4:$D$215,C$4,'Plant Register'!$F$4:$F$215,$A9)</x:f>
        <x:v>0</x:v>
      </x:c>
      <x:c r="D9" s="38" t="n">
        <x:f>SUMIFS('Plant Register'!$H$4:$H$215,'Plant Register'!$C$4:$C$215,"Addition",'Plant Register'!$D$4:$D$215,D$4,'Plant Register'!$F$4:$F$215,$A9)</x:f>
        <x:v>0</x:v>
      </x:c>
      <x:c r="E9" s="38" t="n">
        <x:f>SUMIFS('Plant Register'!$H$4:$H$215,'Plant Register'!$C$4:$C$215,"Addition",'Plant Register'!$D$4:$D$215,E$4,'Plant Register'!$F$4:$F$215,$A9)</x:f>
        <x:v>0</x:v>
      </x:c>
      <x:c r="F9" s="38" t="n">
        <x:f>SUMIFS('Plant Register'!$H$4:$H$215,'Plant Register'!$C$4:$C$215,"Addition",'Plant Register'!$D$4:$D$215,F$4,'Plant Register'!$F$4:$F$215,$A9)</x:f>
        <x:v>0</x:v>
      </x:c>
      <x:c r="G9" s="38" t="n">
        <x:f>SUMIFS('Plant Register'!$H$4:$H$215,'Plant Register'!$C$4:$C$215,"Addition",'Plant Register'!$D$4:$D$215,G$4,'Plant Register'!$F$4:$F$215,$A9)</x:f>
        <x:v>0</x:v>
      </x:c>
      <x:c r="H9" s="38" t="n">
        <x:f>SUMIFS('Plant Register'!$H$4:$H$215,'Plant Register'!$C$4:$C$215,"Addition",'Plant Register'!$D$4:$D$215,H$4,'Plant Register'!$F$4:$F$215,$A9)</x:f>
        <x:v>0</x:v>
      </x:c>
      <x:c r="I9" s="38" t="n">
        <x:f>SUMIFS('Plant Register'!$H$4:$H$215,'Plant Register'!$C$4:$C$215,"Addition",'Plant Register'!$D$4:$D$215,I$4,'Plant Register'!$F$4:$F$215,$A9)</x:f>
        <x:v>0</x:v>
      </x:c>
      <x:c r="J9" s="38" t="n">
        <x:f>SUMIFS('Plant Register'!$H$4:$H$215,'Plant Register'!$C$4:$C$215,"Addition",'Plant Register'!$D$4:$D$215,J$4,'Plant Register'!$F$4:$F$215,$A9)</x:f>
        <x:v>0</x:v>
      </x:c>
      <x:c r="K9" s="38" t="n">
        <x:f>SUMIFS('Plant Register'!$H$4:$H$215,'Plant Register'!$C$4:$C$215,"Addition",'Plant Register'!$D$4:$D$215,K$4,'Plant Register'!$F$4:$F$215,$A9)</x:f>
        <x:v>0</x:v>
      </x:c>
      <x:c r="L9" s="38" t="n">
        <x:f>SUMIFS('Plant Register'!$H$4:$H$215,'Plant Register'!$C$4:$C$215,"Addition",'Plant Register'!$D$4:$D$215,L$4,'Plant Register'!$F$4:$F$215,$A9)</x:f>
        <x:v>0</x:v>
      </x:c>
    </x:row>
    <x:row r="10">
      <x:c r="A10" t="str">
        <x:v>Gas</x:v>
      </x:c>
      <x:c r="B10" s="38" t="n">
        <x:f>SUMIFS('Plant Register'!$H$4:$H$215,'Plant Register'!$C$4:$C$215,"Addition",'Plant Register'!$D$4:$D$215,B$4,'Plant Register'!$F$4:$F$215,$A10)</x:f>
        <x:v>0</x:v>
      </x:c>
      <x:c r="C10" s="38" t="n">
        <x:f>SUMIFS('Plant Register'!$H$4:$H$215,'Plant Register'!$C$4:$C$215,"Addition",'Plant Register'!$D$4:$D$215,C$4,'Plant Register'!$F$4:$F$215,$A10)</x:f>
        <x:v>0</x:v>
      </x:c>
      <x:c r="D10" s="38" t="n">
        <x:f>SUMIFS('Plant Register'!$H$4:$H$215,'Plant Register'!$C$4:$C$215,"Addition",'Plant Register'!$D$4:$D$215,D$4,'Plant Register'!$F$4:$F$215,$A10)</x:f>
        <x:v>0</x:v>
      </x:c>
      <x:c r="E10" s="38" t="n">
        <x:f>SUMIFS('Plant Register'!$H$4:$H$215,'Plant Register'!$C$4:$C$215,"Addition",'Plant Register'!$D$4:$D$215,E$4,'Plant Register'!$F$4:$F$215,$A10)</x:f>
        <x:v>0</x:v>
      </x:c>
      <x:c r="F10" s="38" t="n">
        <x:f>SUMIFS('Plant Register'!$H$4:$H$215,'Plant Register'!$C$4:$C$215,"Addition",'Plant Register'!$D$4:$D$215,F$4,'Plant Register'!$F$4:$F$215,$A10)</x:f>
        <x:v>0</x:v>
      </x:c>
      <x:c r="G10" s="38" t="n">
        <x:f>SUMIFS('Plant Register'!$H$4:$H$215,'Plant Register'!$C$4:$C$215,"Addition",'Plant Register'!$D$4:$D$215,G$4,'Plant Register'!$F$4:$F$215,$A10)</x:f>
        <x:v>0</x:v>
      </x:c>
      <x:c r="H10" s="38" t="n">
        <x:f>SUMIFS('Plant Register'!$H$4:$H$215,'Plant Register'!$C$4:$C$215,"Addition",'Plant Register'!$D$4:$D$215,H$4,'Plant Register'!$F$4:$F$215,$A10)</x:f>
        <x:v>0</x:v>
      </x:c>
      <x:c r="I10" s="38" t="n">
        <x:f>SUMIFS('Plant Register'!$H$4:$H$215,'Plant Register'!$C$4:$C$215,"Addition",'Plant Register'!$D$4:$D$215,I$4,'Plant Register'!$F$4:$F$215,$A10)</x:f>
        <x:v>0</x:v>
      </x:c>
      <x:c r="J10" s="38" t="n">
        <x:f>SUMIFS('Plant Register'!$H$4:$H$215,'Plant Register'!$C$4:$C$215,"Addition",'Plant Register'!$D$4:$D$215,J$4,'Plant Register'!$F$4:$F$215,$A10)</x:f>
        <x:v>0</x:v>
      </x:c>
      <x:c r="K10" s="38" t="n">
        <x:f>SUMIFS('Plant Register'!$H$4:$H$215,'Plant Register'!$C$4:$C$215,"Addition",'Plant Register'!$D$4:$D$215,K$4,'Plant Register'!$F$4:$F$215,$A10)</x:f>
        <x:v>0</x:v>
      </x:c>
      <x:c r="L10" s="38" t="n">
        <x:f>SUMIFS('Plant Register'!$H$4:$H$215,'Plant Register'!$C$4:$C$215,"Addition",'Plant Register'!$D$4:$D$215,L$4,'Plant Register'!$F$4:$F$215,$A10)</x:f>
        <x:v>0</x:v>
      </x:c>
    </x:row>
    <x:row r="11">
      <x:c r="A11" t="str">
        <x:v>Coal - Local</x:v>
      </x:c>
      <x:c r="B11" s="38" t="n">
        <x:f>SUMIFS('Plant Register'!$H$4:$H$215,'Plant Register'!$C$4:$C$215,"Addition",'Plant Register'!$D$4:$D$215,B$4,'Plant Register'!$F$4:$F$215,$A11)</x:f>
        <x:v>0</x:v>
      </x:c>
      <x:c r="C11" s="38" t="n">
        <x:f>SUMIFS('Plant Register'!$H$4:$H$215,'Plant Register'!$C$4:$C$215,"Addition",'Plant Register'!$D$4:$D$215,C$4,'Plant Register'!$F$4:$F$215,$A11)</x:f>
        <x:v>0</x:v>
      </x:c>
      <x:c r="D11" s="38" t="n">
        <x:f>SUMIFS('Plant Register'!$H$4:$H$215,'Plant Register'!$C$4:$C$215,"Addition",'Plant Register'!$D$4:$D$215,D$4,'Plant Register'!$F$4:$F$215,$A11)</x:f>
        <x:v>0</x:v>
      </x:c>
      <x:c r="E11" s="38" t="n">
        <x:f>SUMIFS('Plant Register'!$H$4:$H$215,'Plant Register'!$C$4:$C$215,"Addition",'Plant Register'!$D$4:$D$215,E$4,'Plant Register'!$F$4:$F$215,$A11)</x:f>
        <x:v>0</x:v>
      </x:c>
      <x:c r="F11" s="38" t="n">
        <x:f>SUMIFS('Plant Register'!$H$4:$H$215,'Plant Register'!$C$4:$C$215,"Addition",'Plant Register'!$D$4:$D$215,F$4,'Plant Register'!$F$4:$F$215,$A11)</x:f>
        <x:v>0</x:v>
      </x:c>
      <x:c r="G11" s="38" t="n">
        <x:f>SUMIFS('Plant Register'!$H$4:$H$215,'Plant Register'!$C$4:$C$215,"Addition",'Plant Register'!$D$4:$D$215,G$4,'Plant Register'!$F$4:$F$215,$A11)</x:f>
        <x:v>0</x:v>
      </x:c>
      <x:c r="H11" s="38" t="n">
        <x:f>SUMIFS('Plant Register'!$H$4:$H$215,'Plant Register'!$C$4:$C$215,"Addition",'Plant Register'!$D$4:$D$215,H$4,'Plant Register'!$F$4:$F$215,$A11)</x:f>
        <x:v>0</x:v>
      </x:c>
      <x:c r="I11" s="38" t="n">
        <x:f>SUMIFS('Plant Register'!$H$4:$H$215,'Plant Register'!$C$4:$C$215,"Addition",'Plant Register'!$D$4:$D$215,I$4,'Plant Register'!$F$4:$F$215,$A11)</x:f>
        <x:v>0</x:v>
      </x:c>
      <x:c r="J11" s="38" t="n">
        <x:f>SUMIFS('Plant Register'!$H$4:$H$215,'Plant Register'!$C$4:$C$215,"Addition",'Plant Register'!$D$4:$D$215,J$4,'Plant Register'!$F$4:$F$215,$A11)</x:f>
        <x:v>0</x:v>
      </x:c>
      <x:c r="K11" s="38" t="n">
        <x:f>SUMIFS('Plant Register'!$H$4:$H$215,'Plant Register'!$C$4:$C$215,"Addition",'Plant Register'!$D$4:$D$215,K$4,'Plant Register'!$F$4:$F$215,$A11)</x:f>
        <x:v>0</x:v>
      </x:c>
      <x:c r="L11" s="38" t="n">
        <x:f>SUMIFS('Plant Register'!$H$4:$H$215,'Plant Register'!$C$4:$C$215,"Addition",'Plant Register'!$D$4:$D$215,L$4,'Plant Register'!$F$4:$F$215,$A11)</x:f>
        <x:v>0</x:v>
      </x:c>
    </x:row>
    <x:row r="12">
      <x:c r="A12" t="str">
        <x:v>Coal - Imported</x:v>
      </x:c>
      <x:c r="B12" s="38" t="n">
        <x:f>SUMIFS('Plant Register'!$H$4:$H$215,'Plant Register'!$C$4:$C$215,"Addition",'Plant Register'!$D$4:$D$215,B$4,'Plant Register'!$F$4:$F$215,$A12)</x:f>
        <x:v>0</x:v>
      </x:c>
      <x:c r="C12" s="38" t="n">
        <x:f>SUMIFS('Plant Register'!$H$4:$H$215,'Plant Register'!$C$4:$C$215,"Addition",'Plant Register'!$D$4:$D$215,C$4,'Plant Register'!$F$4:$F$215,$A12)</x:f>
        <x:v>0</x:v>
      </x:c>
      <x:c r="D12" s="38" t="n">
        <x:f>SUMIFS('Plant Register'!$H$4:$H$215,'Plant Register'!$C$4:$C$215,"Addition",'Plant Register'!$D$4:$D$215,D$4,'Plant Register'!$F$4:$F$215,$A12)</x:f>
        <x:v>0</x:v>
      </x:c>
      <x:c r="E12" s="38" t="n">
        <x:f>SUMIFS('Plant Register'!$H$4:$H$215,'Plant Register'!$C$4:$C$215,"Addition",'Plant Register'!$D$4:$D$215,E$4,'Plant Register'!$F$4:$F$215,$A12)</x:f>
        <x:v>0</x:v>
      </x:c>
      <x:c r="F12" s="38" t="n">
        <x:f>SUMIFS('Plant Register'!$H$4:$H$215,'Plant Register'!$C$4:$C$215,"Addition",'Plant Register'!$D$4:$D$215,F$4,'Plant Register'!$F$4:$F$215,$A12)</x:f>
        <x:v>0</x:v>
      </x:c>
      <x:c r="G12" s="38" t="n">
        <x:f>SUMIFS('Plant Register'!$H$4:$H$215,'Plant Register'!$C$4:$C$215,"Addition",'Plant Register'!$D$4:$D$215,G$4,'Plant Register'!$F$4:$F$215,$A12)</x:f>
        <x:v>0</x:v>
      </x:c>
      <x:c r="H12" s="38" t="n">
        <x:f>SUMIFS('Plant Register'!$H$4:$H$215,'Plant Register'!$C$4:$C$215,"Addition",'Plant Register'!$D$4:$D$215,H$4,'Plant Register'!$F$4:$F$215,$A12)</x:f>
        <x:v>0</x:v>
      </x:c>
      <x:c r="I12" s="38" t="n">
        <x:f>SUMIFS('Plant Register'!$H$4:$H$215,'Plant Register'!$C$4:$C$215,"Addition",'Plant Register'!$D$4:$D$215,I$4,'Plant Register'!$F$4:$F$215,$A12)</x:f>
        <x:v>0</x:v>
      </x:c>
      <x:c r="J12" s="38" t="n">
        <x:f>SUMIFS('Plant Register'!$H$4:$H$215,'Plant Register'!$C$4:$C$215,"Addition",'Plant Register'!$D$4:$D$215,J$4,'Plant Register'!$F$4:$F$215,$A12)</x:f>
        <x:v>0</x:v>
      </x:c>
      <x:c r="K12" s="38" t="n">
        <x:f>SUMIFS('Plant Register'!$H$4:$H$215,'Plant Register'!$C$4:$C$215,"Addition",'Plant Register'!$D$4:$D$215,K$4,'Plant Register'!$F$4:$F$215,$A12)</x:f>
        <x:v>0</x:v>
      </x:c>
      <x:c r="L12" s="38" t="n">
        <x:f>SUMIFS('Plant Register'!$H$4:$H$215,'Plant Register'!$C$4:$C$215,"Addition",'Plant Register'!$D$4:$D$215,L$4,'Plant Register'!$F$4:$F$215,$A12)</x:f>
        <x:v>0</x:v>
      </x:c>
    </x:row>
    <x:row r="13">
      <x:c r="A13" t="str">
        <x:v>RFO</x:v>
      </x:c>
      <x:c r="B13" s="38" t="n">
        <x:f>SUMIFS('Plant Register'!$H$4:$H$215,'Plant Register'!$C$4:$C$215,"Addition",'Plant Register'!$D$4:$D$215,B$4,'Plant Register'!$F$4:$F$215,$A13)</x:f>
        <x:v>0</x:v>
      </x:c>
      <x:c r="C13" s="38" t="n">
        <x:f>SUMIFS('Plant Register'!$H$4:$H$215,'Plant Register'!$C$4:$C$215,"Addition",'Plant Register'!$D$4:$D$215,C$4,'Plant Register'!$F$4:$F$215,$A13)</x:f>
        <x:v>0</x:v>
      </x:c>
      <x:c r="D13" s="38" t="n">
        <x:f>SUMIFS('Plant Register'!$H$4:$H$215,'Plant Register'!$C$4:$C$215,"Addition",'Plant Register'!$D$4:$D$215,D$4,'Plant Register'!$F$4:$F$215,$A13)</x:f>
        <x:v>0</x:v>
      </x:c>
      <x:c r="E13" s="38" t="n">
        <x:f>SUMIFS('Plant Register'!$H$4:$H$215,'Plant Register'!$C$4:$C$215,"Addition",'Plant Register'!$D$4:$D$215,E$4,'Plant Register'!$F$4:$F$215,$A13)</x:f>
        <x:v>0</x:v>
      </x:c>
      <x:c r="F13" s="38" t="n">
        <x:f>SUMIFS('Plant Register'!$H$4:$H$215,'Plant Register'!$C$4:$C$215,"Addition",'Plant Register'!$D$4:$D$215,F$4,'Plant Register'!$F$4:$F$215,$A13)</x:f>
        <x:v>0</x:v>
      </x:c>
      <x:c r="G13" s="38" t="n">
        <x:f>SUMIFS('Plant Register'!$H$4:$H$215,'Plant Register'!$C$4:$C$215,"Addition",'Plant Register'!$D$4:$D$215,G$4,'Plant Register'!$F$4:$F$215,$A13)</x:f>
        <x:v>0</x:v>
      </x:c>
      <x:c r="H13" s="38" t="n">
        <x:f>SUMIFS('Plant Register'!$H$4:$H$215,'Plant Register'!$C$4:$C$215,"Addition",'Plant Register'!$D$4:$D$215,H$4,'Plant Register'!$F$4:$F$215,$A13)</x:f>
        <x:v>0</x:v>
      </x:c>
      <x:c r="I13" s="38" t="n">
        <x:f>SUMIFS('Plant Register'!$H$4:$H$215,'Plant Register'!$C$4:$C$215,"Addition",'Plant Register'!$D$4:$D$215,I$4,'Plant Register'!$F$4:$F$215,$A13)</x:f>
        <x:v>0</x:v>
      </x:c>
      <x:c r="J13" s="38" t="n">
        <x:f>SUMIFS('Plant Register'!$H$4:$H$215,'Plant Register'!$C$4:$C$215,"Addition",'Plant Register'!$D$4:$D$215,J$4,'Plant Register'!$F$4:$F$215,$A13)</x:f>
        <x:v>0</x:v>
      </x:c>
      <x:c r="K13" s="38" t="n">
        <x:f>SUMIFS('Plant Register'!$H$4:$H$215,'Plant Register'!$C$4:$C$215,"Addition",'Plant Register'!$D$4:$D$215,K$4,'Plant Register'!$F$4:$F$215,$A13)</x:f>
        <x:v>0</x:v>
      </x:c>
      <x:c r="L13" s="38" t="n">
        <x:f>SUMIFS('Plant Register'!$H$4:$H$215,'Plant Register'!$C$4:$C$215,"Addition",'Plant Register'!$D$4:$D$215,L$4,'Plant Register'!$F$4:$F$215,$A13)</x:f>
        <x:v>0</x:v>
      </x:c>
    </x:row>
    <x:row r="14">
      <x:c r="A14" t="str">
        <x:v>Bagasse</x:v>
      </x:c>
      <x:c r="B14" s="38" t="n">
        <x:f>SUMIFS('Plant Register'!$H$4:$H$215,'Plant Register'!$C$4:$C$215,"Addition",'Plant Register'!$D$4:$D$215,B$4,'Plant Register'!$F$4:$F$215,$A14)</x:f>
        <x:v>0</x:v>
      </x:c>
      <x:c r="C14" s="38" t="n">
        <x:f>SUMIFS('Plant Register'!$H$4:$H$215,'Plant Register'!$C$4:$C$215,"Addition",'Plant Register'!$D$4:$D$215,C$4,'Plant Register'!$F$4:$F$215,$A14)</x:f>
        <x:v>0</x:v>
      </x:c>
      <x:c r="D14" s="38" t="n">
        <x:f>SUMIFS('Plant Register'!$H$4:$H$215,'Plant Register'!$C$4:$C$215,"Addition",'Plant Register'!$D$4:$D$215,D$4,'Plant Register'!$F$4:$F$215,$A14)</x:f>
        <x:v>0</x:v>
      </x:c>
      <x:c r="E14" s="38" t="n">
        <x:f>SUMIFS('Plant Register'!$H$4:$H$215,'Plant Register'!$C$4:$C$215,"Addition",'Plant Register'!$D$4:$D$215,E$4,'Plant Register'!$F$4:$F$215,$A14)</x:f>
        <x:v>0</x:v>
      </x:c>
      <x:c r="F14" s="38" t="n">
        <x:f>SUMIFS('Plant Register'!$H$4:$H$215,'Plant Register'!$C$4:$C$215,"Addition",'Plant Register'!$D$4:$D$215,F$4,'Plant Register'!$F$4:$F$215,$A14)</x:f>
        <x:v>0</x:v>
      </x:c>
      <x:c r="G14" s="38" t="n">
        <x:f>SUMIFS('Plant Register'!$H$4:$H$215,'Plant Register'!$C$4:$C$215,"Addition",'Plant Register'!$D$4:$D$215,G$4,'Plant Register'!$F$4:$F$215,$A14)</x:f>
        <x:v>0</x:v>
      </x:c>
      <x:c r="H14" s="38" t="n">
        <x:f>SUMIFS('Plant Register'!$H$4:$H$215,'Plant Register'!$C$4:$C$215,"Addition",'Plant Register'!$D$4:$D$215,H$4,'Plant Register'!$F$4:$F$215,$A14)</x:f>
        <x:v>0</x:v>
      </x:c>
      <x:c r="I14" s="38" t="n">
        <x:f>SUMIFS('Plant Register'!$H$4:$H$215,'Plant Register'!$C$4:$C$215,"Addition",'Plant Register'!$D$4:$D$215,I$4,'Plant Register'!$F$4:$F$215,$A14)</x:f>
        <x:v>0</x:v>
      </x:c>
      <x:c r="J14" s="38" t="n">
        <x:f>SUMIFS('Plant Register'!$H$4:$H$215,'Plant Register'!$C$4:$C$215,"Addition",'Plant Register'!$D$4:$D$215,J$4,'Plant Register'!$F$4:$F$215,$A14)</x:f>
        <x:v>0</x:v>
      </x:c>
      <x:c r="K14" s="38" t="n">
        <x:f>SUMIFS('Plant Register'!$H$4:$H$215,'Plant Register'!$C$4:$C$215,"Addition",'Plant Register'!$D$4:$D$215,K$4,'Plant Register'!$F$4:$F$215,$A14)</x:f>
        <x:v>0</x:v>
      </x:c>
      <x:c r="L14" s="38" t="n">
        <x:f>SUMIFS('Plant Register'!$H$4:$H$215,'Plant Register'!$C$4:$C$215,"Addition",'Plant Register'!$D$4:$D$215,L$4,'Plant Register'!$F$4:$F$215,$A14)</x:f>
        <x:v>0</x:v>
      </x:c>
    </x:row>
    <x:row r="15">
      <x:c r="A15" t="str">
        <x:v>Cross-border</x:v>
      </x:c>
      <x:c r="B15" s="38" t="n">
        <x:f>SUMIFS('Plant Register'!$H$4:$H$215,'Plant Register'!$C$4:$C$215,"Addition",'Plant Register'!$D$4:$D$215,B$4,'Plant Register'!$F$4:$F$215,$A15)</x:f>
        <x:v>0</x:v>
      </x:c>
      <x:c r="C15" s="38" t="n">
        <x:f>SUMIFS('Plant Register'!$H$4:$H$215,'Plant Register'!$C$4:$C$215,"Addition",'Plant Register'!$D$4:$D$215,C$4,'Plant Register'!$F$4:$F$215,$A15)</x:f>
        <x:v>0</x:v>
      </x:c>
      <x:c r="D15" s="38" t="n">
        <x:f>SUMIFS('Plant Register'!$H$4:$H$215,'Plant Register'!$C$4:$C$215,"Addition",'Plant Register'!$D$4:$D$215,D$4,'Plant Register'!$F$4:$F$215,$A15)</x:f>
        <x:v>0</x:v>
      </x:c>
      <x:c r="E15" s="38" t="n">
        <x:f>SUMIFS('Plant Register'!$H$4:$H$215,'Plant Register'!$C$4:$C$215,"Addition",'Plant Register'!$D$4:$D$215,E$4,'Plant Register'!$F$4:$F$215,$A15)</x:f>
        <x:v>0</x:v>
      </x:c>
      <x:c r="F15" s="38" t="n">
        <x:f>SUMIFS('Plant Register'!$H$4:$H$215,'Plant Register'!$C$4:$C$215,"Addition",'Plant Register'!$D$4:$D$215,F$4,'Plant Register'!$F$4:$F$215,$A15)</x:f>
        <x:v>0</x:v>
      </x:c>
      <x:c r="G15" s="38" t="n">
        <x:f>SUMIFS('Plant Register'!$H$4:$H$215,'Plant Register'!$C$4:$C$215,"Addition",'Plant Register'!$D$4:$D$215,G$4,'Plant Register'!$F$4:$F$215,$A15)</x:f>
        <x:v>0</x:v>
      </x:c>
      <x:c r="H15" s="38" t="n">
        <x:f>SUMIFS('Plant Register'!$H$4:$H$215,'Plant Register'!$C$4:$C$215,"Addition",'Plant Register'!$D$4:$D$215,H$4,'Plant Register'!$F$4:$F$215,$A15)</x:f>
        <x:v>0</x:v>
      </x:c>
      <x:c r="I15" s="38" t="n">
        <x:f>SUMIFS('Plant Register'!$H$4:$H$215,'Plant Register'!$C$4:$C$215,"Addition",'Plant Register'!$D$4:$D$215,I$4,'Plant Register'!$F$4:$F$215,$A15)</x:f>
        <x:v>0</x:v>
      </x:c>
      <x:c r="J15" s="38" t="n">
        <x:f>SUMIFS('Plant Register'!$H$4:$H$215,'Plant Register'!$C$4:$C$215,"Addition",'Plant Register'!$D$4:$D$215,J$4,'Plant Register'!$F$4:$F$215,$A15)</x:f>
        <x:v>0</x:v>
      </x:c>
      <x:c r="K15" s="38" t="n">
        <x:f>SUMIFS('Plant Register'!$H$4:$H$215,'Plant Register'!$C$4:$C$215,"Addition",'Plant Register'!$D$4:$D$215,K$4,'Plant Register'!$F$4:$F$215,$A15)</x:f>
        <x:v>0</x:v>
      </x:c>
      <x:c r="L15" s="38" t="n">
        <x:f>SUMIFS('Plant Register'!$H$4:$H$215,'Plant Register'!$C$4:$C$215,"Addition",'Plant Register'!$D$4:$D$215,L$4,'Plant Register'!$F$4:$F$215,$A15)</x:f>
        <x:v>0</x:v>
      </x:c>
    </x:row>
    <x:row r="16">
      <x:c r="A16" s="45" t="str">
        <x:v>ALL ADDITIONS</x:v>
      </x:c>
      <x:c r="B16" s="48" t="n">
        <x:f>SUM(B5:B15)</x:f>
        <x:v>2608.02</x:v>
      </x:c>
      <x:c r="C16" s="48" t="n">
        <x:f>SUM(C5:C15)</x:f>
        <x:v>1357.22</x:v>
      </x:c>
      <x:c r="D16" s="48" t="n">
        <x:f>SUM(D5:D15)</x:f>
        <x:v>3611.1</x:v>
      </x:c>
      <x:c r="E16" s="48" t="n">
        <x:f>SUM(E5:E15)</x:f>
        <x:v>5489.700000000001</x:v>
      </x:c>
      <x:c r="F16" s="48" t="n">
        <x:f>SUM(F5:F15)</x:f>
        <x:v>1419.7</x:v>
      </x:c>
      <x:c r="G16" s="48" t="n">
        <x:f>SUM(G5:G15)</x:f>
        <x:v>1433.6999999999998</x:v>
      </x:c>
      <x:c r="H16" s="48" t="n">
        <x:f>SUM(H5:H15)</x:f>
        <x:v>1375.8</x:v>
      </x:c>
      <x:c r="I16" s="48" t="n">
        <x:f>SUM(I5:I15)</x:f>
        <x:v>1700</x:v>
      </x:c>
      <x:c r="J16" s="48" t="n">
        <x:f>SUM(J5:J15)</x:f>
        <x:v>3530.2</x:v>
      </x:c>
      <x:c r="K16" s="48" t="n">
        <x:f>SUM(K5:K15)</x:f>
        <x:v>1741</x:v>
      </x:c>
      <x:c r="L16" s="48" t="n">
        <x:f>SUM(L5:L15)</x:f>
        <x:v>1779</x:v>
      </x:c>
    </x:row>
  </x:sheetData>
  <x:mergeCells>
    <x:mergeCell ref="A1:L1"/>
  </x:mergeCells>
  <x:conditionalFormatting sqref="B5:L15">
    <x:cfRule type="colorScale" priority="1">
      <x:colorScale>
        <x:cfvo type="min"/>
        <x:cfvo type="percentile" val="50"/>
        <x:cfvo type="max"/>
        <x:color rgb="FFFBFCFE"/>
        <x:color rgb="FFE4EFF7"/>
        <x:color rgb="FF29899D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5" hidden="0" customWidth="1"/>
    <x:col min="3" max="3" width="19" hidden="0" customWidth="1"/>
    <x:col min="4" max="4" width="4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7" customHeight="1">
      <x:c r="A1" s="51" t="str">
        <x:v>PAKISTAN IGCEP 2025–2035 | GENERATION PLANNING ATLAS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 ht="27" customHeight="1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3" ht="28" customHeight="1">
      <x:c r="A3" s="54" t="str">
        <x:v>Companion to the zoomable offline HTML generation map — read source notes before comparing to TSEP buses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</x:row>
    <x:row r="5">
      <x:c r="A5" s="32" t="str">
        <x:v>Source category</x:v>
      </x:c>
      <x:c r="B5" s="32" t="str">
        <x:v>Rows</x:v>
      </x:c>
      <x:c r="C5" s="32" t="str">
        <x:v>Installed MW</x:v>
      </x:c>
      <x:c r="D5" s="32" t="str">
        <x:v>Coverage</x:v>
      </x:c>
    </x:row>
    <x:row r="6">
      <x:c r="A6" t="str">
        <x:v>Existing fleet (Nov 2024)</x:v>
      </x:c>
      <x:c r="B6" t="n">
        <x:v>136</x:v>
      </x:c>
      <x:c r="C6" t="n">
        <x:v>39085</x:v>
      </x:c>
      <x:c r="D6" t="str">
        <x:v>NGC+KE; includes 100 MW Iran import</x:v>
      </x:c>
    </x:row>
    <x:row r="7">
      <x:c r="A7" t="str">
        <x:v>Annual additions (main RCA)</x:v>
      </x:c>
      <x:c r="B7" t="n">
        <x:v>65</x:v>
      </x:c>
      <x:c r="C7" t="n">
        <x:v>26045.44</x:v>
      </x:c>
      <x:c r="D7" t="str">
        <x:v>FY2025–FY2035; source Table 6-8</x:v>
      </x:c>
    </x:row>
    <x:row r="8">
      <x:c r="A8" t="str">
        <x:v>Scheduled retirements</x:v>
      </x:c>
      <x:c r="B8" t="n">
        <x:v>11</x:v>
      </x:c>
      <x:c r="C8" t="n">
        <x:v>2577</x:v>
      </x:c>
      <x:c r="D8" t="str">
        <x:v>Source Table 5-2; not a net investment number</x:v>
      </x:c>
    </x:row>
    <x:row r="9">
      <x:c r="A9" t="str">
        <x:v>Annual CF groups</x:v>
      </x:c>
      <x:c r="B9" t="n">
        <x:v>212</x:v>
      </x:c>
      <x:c r="C9"/>
      <x:c r="D9" t="str">
        <x:v>Table 6-9; includes candidates not selected</x:v>
      </x:c>
    </x:row>
    <x:row r="12" ht="25" customHeight="1">
      <x:c r="A12" s="32" t="str">
        <x:v>ANALYSIS RULES &amp; LIMITS</x:v>
      </x:c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 ht="31" customHeight="1">
      <x:c r="A13" s="56" t="str">
        <x:v>Planning FY2025 means FY2024-25, ending June 2025; COD month/date retained separately. Baseline plant inventory is November 2024.</x:v>
      </x:c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</x:row>
    <x:row r="14" ht="31" customHeight="1">
      <x:c r="A14" s="56" t="str">
        <x:v>The source distinguishes existing, committed, optimized, retired, candidate and aggregate market/net-metered capacity. Never equate these.</x:v>
      </x:c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</x:row>
    <x:row r="15" ht="31" customHeight="1">
      <x:c r="A15" s="56" t="str">
        <x:v>The HTML map uses indicative vicinity/cluster anchor coordinates, not original IGCEP geocoordinates or PSS/E buses. Unlocated capacity remains explicit.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31" customHeight="1">
      <x:c r="A16" s="56" t="str">
        <x:v>Distributed net-metering, generic market wind/solar, KE_New_Wind, New_Wind and CASA are not assigned fictional plant coordinates.</x:v>
      </x:c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</x:row>
    <x:row r="17" ht="31" customHeight="1">
      <x:c r="A17" s="56" t="str">
        <x:v>Capacity factors are published model utilization for FY2027–2035; missing matches remain blank, and zero in a candidate CF row does not mean planned capacity.</x:v>
      </x:c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</x:row>
    <x:row r="18" ht="31" customHeight="1">
      <x:c r="A18" s="56" t="str">
        <x:v>The main map and all annual additions here use main Rationalized Capacity Addition Table 6-8; alternative scenarios in Annexures C–L differ and are NOT blended.</x:v>
      </x:c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</x:row>
    <x:row r="19" ht="31" customHeight="1">
      <x:c r="A19" s="56" t="str">
        <x:v>NEPRA approval and changes to IGCEP must be checked against the separate GPP-15 determination; the uploaded IGCEP is indicative, not proof of final procurement.</x:v>
      </x:c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</x:row>
    <x:row r="20" ht="31" customHeight="1">
      <x:c r="A20" s="56" t="str">
        <x:v>Retirement Table 5-2 includes Gael and Altern Energy not named in the Nov 2024 Annex B fleet; AGL and Engro capacities also differ. Do not force equality.</x:v>
      </x:c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</x:row>
    <x:row r="21" ht="31" customHeight="1">
      <x:c r="A21" s="56" t="str">
        <x:v>A location marker cannot be used to claim TSEP bus connection, evacuating network, N-1 compliance, or nodal hosting capability.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</x:row>
    <x:row r="22" ht="31" customHeight="1">
      <x:c r="A22" s="56" t="str">
        <x:v>Source PDF: IGCEP_2025-35_R2.pdf; main Table 6-8 PDF pp.118–120; retirements Table 5-2 PDF p.89; baseline B-1 PDF pp.149–153; CF Table 6-9 PDF pp.121–126.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6">
      <x:c r="A26" s="32" t="str">
        <x:v>FY</x:v>
      </x:c>
      <x:c r="B26" s="32" t="str">
        <x:v>Additions MW</x:v>
      </x:c>
      <x:c r="C26" s="32" t="str">
        <x:v>Retirements MW</x:v>
      </x:c>
      <x:c r="D26" s="32" t="str">
        <x:v>Net new MW</x:v>
      </x:c>
    </x:row>
    <x:row r="27">
      <x:c r="A27" t="n">
        <x:v>2025</x:v>
      </x:c>
      <x:c r="B27" s="38" t="n">
        <x:f>SUMIFS('Plant Register'!$H$4:$H$215,'Plant Register'!$C$4:$C$215,"Addition",'Plant Register'!$D$4:$D$215,A27)</x:f>
        <x:v>2608.02</x:v>
      </x:c>
      <x:c r="C27" s="38" t="n">
        <x:f>SUMIFS('Plant Register'!$H$4:$H$215,'Plant Register'!$C$4:$C$215,"Retirement",'Plant Register'!$D$4:$D$215,A27)</x:f>
        <x:v>136</x:v>
      </x:c>
      <x:c r="D27" s="38" t="n">
        <x:f>B27-C27</x:f>
        <x:v>2472.02</x:v>
      </x:c>
    </x:row>
    <x:row r="28">
      <x:c r="A28" t="n">
        <x:v>2026</x:v>
      </x:c>
      <x:c r="B28" s="38" t="n">
        <x:f>SUMIFS('Plant Register'!$H$4:$H$215,'Plant Register'!$C$4:$C$215,"Addition",'Plant Register'!$D$4:$D$215,A28)</x:f>
        <x:v>1357.22</x:v>
      </x:c>
      <x:c r="C28" s="38" t="n">
        <x:f>SUMIFS('Plant Register'!$H$4:$H$215,'Plant Register'!$C$4:$C$215,"Retirement",'Plant Register'!$D$4:$D$215,A28)</x:f>
        <x:v>0</x:v>
      </x:c>
      <x:c r="D28" s="38" t="n">
        <x:f>B28-C28</x:f>
        <x:v>1357.22</x:v>
      </x:c>
    </x:row>
    <x:row r="29">
      <x:c r="A29" t="n">
        <x:v>2027</x:v>
      </x:c>
      <x:c r="B29" s="38" t="n">
        <x:f>SUMIFS('Plant Register'!$H$4:$H$215,'Plant Register'!$C$4:$C$215,"Addition",'Plant Register'!$D$4:$D$215,A29)</x:f>
        <x:v>3611.1</x:v>
      </x:c>
      <x:c r="C29" s="38" t="n">
        <x:f>SUMIFS('Plant Register'!$H$4:$H$215,'Plant Register'!$C$4:$C$215,"Retirement",'Plant Register'!$D$4:$D$215,A29)</x:f>
        <x:v>210</x:v>
      </x:c>
      <x:c r="D29" s="38" t="n">
        <x:f>B29-C29</x:f>
        <x:v>3401.1</x:v>
      </x:c>
    </x:row>
    <x:row r="30">
      <x:c r="A30" t="n">
        <x:v>2028</x:v>
      </x:c>
      <x:c r="B30" s="38" t="n">
        <x:f>SUMIFS('Plant Register'!$H$4:$H$215,'Plant Register'!$C$4:$C$215,"Addition",'Plant Register'!$D$4:$D$215,A30)</x:f>
        <x:v>5489.700000000001</x:v>
      </x:c>
      <x:c r="C30" s="38" t="n">
        <x:f>SUMIFS('Plant Register'!$H$4:$H$215,'Plant Register'!$C$4:$C$215,"Retirement",'Plant Register'!$D$4:$D$215,A30)</x:f>
        <x:v>366</x:v>
      </x:c>
      <x:c r="D30" s="38" t="n">
        <x:f>B30-C30</x:f>
        <x:v>5123.700000000001</x:v>
      </x:c>
    </x:row>
    <x:row r="31">
      <x:c r="A31" t="n">
        <x:v>2029</x:v>
      </x:c>
      <x:c r="B31" s="38" t="n">
        <x:f>SUMIFS('Plant Register'!$H$4:$H$215,'Plant Register'!$C$4:$C$215,"Addition",'Plant Register'!$D$4:$D$215,A31)</x:f>
        <x:v>1419.7</x:v>
      </x:c>
      <x:c r="C31" s="38" t="n">
        <x:f>SUMIFS('Plant Register'!$H$4:$H$215,'Plant Register'!$C$4:$C$215,"Retirement",'Plant Register'!$D$4:$D$215,A31)</x:f>
        <x:v>495</x:v>
      </x:c>
      <x:c r="D31" s="38" t="n">
        <x:f>B31-C31</x:f>
        <x:v>924.7</x:v>
      </x:c>
    </x:row>
    <x:row r="32">
      <x:c r="A32" t="n">
        <x:v>2030</x:v>
      </x:c>
      <x:c r="B32" s="38" t="n">
        <x:f>SUMIFS('Plant Register'!$H$4:$H$215,'Plant Register'!$C$4:$C$215,"Addition",'Plant Register'!$D$4:$D$215,A32)</x:f>
        <x:v>1433.6999999999998</x:v>
      </x:c>
      <x:c r="C32" s="38" t="n">
        <x:f>SUMIFS('Plant Register'!$H$4:$H$215,'Plant Register'!$C$4:$C$215,"Retirement",'Plant Register'!$D$4:$D$215,A32)</x:f>
        <x:v>0</x:v>
      </x:c>
      <x:c r="D32" s="38" t="n">
        <x:f>B32-C32</x:f>
        <x:v>1433.6999999999998</x:v>
      </x:c>
    </x:row>
    <x:row r="33">
      <x:c r="A33" t="n">
        <x:v>2031</x:v>
      </x:c>
      <x:c r="B33" s="38" t="n">
        <x:f>SUMIFS('Plant Register'!$H$4:$H$215,'Plant Register'!$C$4:$C$215,"Addition",'Plant Register'!$D$4:$D$215,A33)</x:f>
        <x:v>1375.8</x:v>
      </x:c>
      <x:c r="C33" s="38" t="n">
        <x:f>SUMIFS('Plant Register'!$H$4:$H$215,'Plant Register'!$C$4:$C$215,"Retirement",'Plant Register'!$D$4:$D$215,A33)</x:f>
        <x:v>586</x:v>
      </x:c>
      <x:c r="D33" s="38" t="n">
        <x:f>B33-C33</x:f>
        <x:v>789.8</x:v>
      </x:c>
    </x:row>
    <x:row r="34">
      <x:c r="A34" t="n">
        <x:v>2032</x:v>
      </x:c>
      <x:c r="B34" s="38" t="n">
        <x:f>SUMIFS('Plant Register'!$H$4:$H$215,'Plant Register'!$C$4:$C$215,"Addition",'Plant Register'!$D$4:$D$215,A34)</x:f>
        <x:v>1700</x:v>
      </x:c>
      <x:c r="C34" s="38" t="n">
        <x:f>SUMIFS('Plant Register'!$H$4:$H$215,'Plant Register'!$C$4:$C$215,"Retirement",'Plant Register'!$D$4:$D$215,A34)</x:f>
        <x:v>188</x:v>
      </x:c>
      <x:c r="D34" s="38" t="n">
        <x:f>B34-C34</x:f>
        <x:v>1512</x:v>
      </x:c>
    </x:row>
    <x:row r="35">
      <x:c r="A35" t="n">
        <x:v>2033</x:v>
      </x:c>
      <x:c r="B35" s="38" t="n">
        <x:f>SUMIFS('Plant Register'!$H$4:$H$215,'Plant Register'!$C$4:$C$215,"Addition",'Plant Register'!$D$4:$D$215,A35)</x:f>
        <x:v>3530.2</x:v>
      </x:c>
      <x:c r="C35" s="38" t="n">
        <x:f>SUMIFS('Plant Register'!$H$4:$H$215,'Plant Register'!$C$4:$C$215,"Retirement",'Plant Register'!$D$4:$D$215,A35)</x:f>
        <x:v>210</x:v>
      </x:c>
      <x:c r="D35" s="38" t="n">
        <x:f>B35-C35</x:f>
        <x:v>3320.2</x:v>
      </x:c>
    </x:row>
    <x:row r="36">
      <x:c r="A36" t="n">
        <x:v>2034</x:v>
      </x:c>
      <x:c r="B36" s="38" t="n">
        <x:f>SUMIFS('Plant Register'!$H$4:$H$215,'Plant Register'!$C$4:$C$215,"Addition",'Plant Register'!$D$4:$D$215,A36)</x:f>
        <x:v>1741</x:v>
      </x:c>
      <x:c r="C36" s="38" t="n">
        <x:f>SUMIFS('Plant Register'!$H$4:$H$215,'Plant Register'!$C$4:$C$215,"Retirement",'Plant Register'!$D$4:$D$215,A36)</x:f>
        <x:v>163</x:v>
      </x:c>
      <x:c r="D36" s="38" t="n">
        <x:f>B36-C36</x:f>
        <x:v>1578</x:v>
      </x:c>
    </x:row>
    <x:row r="37">
      <x:c r="A37" t="n">
        <x:v>2035</x:v>
      </x:c>
      <x:c r="B37" s="38" t="n">
        <x:f>SUMIFS('Plant Register'!$H$4:$H$215,'Plant Register'!$C$4:$C$215,"Addition",'Plant Register'!$D$4:$D$215,A37)</x:f>
        <x:v>1779</x:v>
      </x:c>
      <x:c r="C37" s="38" t="n">
        <x:f>SUMIFS('Plant Register'!$H$4:$H$215,'Plant Register'!$C$4:$C$215,"Retirement",'Plant Register'!$D$4:$D$215,A37)</x:f>
        <x:v>223</x:v>
      </x:c>
      <x:c r="D37" s="38" t="n">
        <x:f>B37-C37</x:f>
        <x:v>1556</x:v>
      </x:c>
    </x:row>
  </x:sheetData>
  <x:mergeCells>
    <x:mergeCell ref="A1:K2"/>
    <x:mergeCell ref="A3:K3"/>
    <x:mergeCell ref="A13:K13"/>
    <x:mergeCell ref="A14:K14"/>
    <x:mergeCell ref="A15:K15"/>
    <x:mergeCell ref="A16:K16"/>
    <x:mergeCell ref="A17:K17"/>
    <x:mergeCell ref="A18:K18"/>
    <x:mergeCell ref="A19:K19"/>
    <x:mergeCell ref="A20:K20"/>
    <x:mergeCell ref="A21:K21"/>
    <x:mergeCell ref="A22:K22"/>
  </x:mergeCells>
  <x:pageMargins left="0.7" right="0.7" top="0.75" bottom="0.75" header="0.3" footer="0.3"/>
  <x:drawing xmlns:r="http://schemas.openxmlformats.org/officeDocument/2006/relationships" r:id="Rd315a89bb1304475"/>
</x:worksheet>
</file>